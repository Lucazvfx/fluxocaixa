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worksheets/sheet2.xml" ContentType="application/vnd.openxmlformats-officedocument.spreadsheetml.worksheet+xml"/>
  <Override PartName="/xl/tables/table21.xml" ContentType="application/vnd.openxmlformats-officedocument.spreadsheetml.table+xml"/>
  <Override PartName="/xl/worksheets/sheet3.xml" ContentType="application/vnd.openxmlformats-officedocument.spreadsheetml.worksheet+xml"/>
  <Override PartName="/xl/tables/table22.xml" ContentType="application/vnd.openxmlformats-officedocument.spreadsheetml.table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xmlns:r="http://schemas.openxmlformats.org/officeDocument/2006/relationships" name="CONSOLIDADO" sheetId="1" state="visible" r:id="rId1"/>
    <sheet xmlns:r="http://schemas.openxmlformats.org/officeDocument/2006/relationships" name="MAPEAMENTO" sheetId="2" state="visible" r:id="rId2"/>
    <sheet xmlns:r="http://schemas.openxmlformats.org/officeDocument/2006/relationships" name="LOG" sheetId="3" state="visible" r:id="rId3"/>
    <sheet xmlns:r="http://schemas.openxmlformats.org/officeDocument/2006/relationships" name="Etapas do Projeto" sheetId="4" state="visible" r:id="rId4"/>
  </sheets>
  <definedNames/>
  <calcPr calcId="191028" fullCalcOnLoad="1" iterateDelta="0.0001"/>
</workbook>
</file>

<file path=xl/styles.xml><?xml version="1.0" encoding="utf-8"?>
<styleSheet xmlns="http://schemas.openxmlformats.org/spreadsheetml/2006/main">
  <numFmts count="0"/>
  <fonts count="4"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b val="1"/>
      <color theme="0" tint="-0.0499893185216834"/>
      <sz val="11"/>
      <scheme val="minor"/>
    </font>
    <font>
      <name val="Aptos Narrow"/>
      <family val="2"/>
      <color theme="0" tint="-0.0499893185216834"/>
      <sz val="11"/>
      <scheme val="minor"/>
    </font>
  </fonts>
  <fills count="9">
    <fill>
      <patternFill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D2053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F9E7F7"/>
        <bgColor indexed="64"/>
      </patternFill>
    </fill>
    <fill>
      <patternFill patternType="solid">
        <fgColor rgb="FF123142"/>
        <bgColor indexed="64"/>
      </patternFill>
    </fill>
    <fill>
      <patternFill patternType="solid">
        <fgColor rgb="FF33605A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1">
    <xf numFmtId="0" fontId="0" fillId="0" borderId="0" pivotButton="0" quotePrefix="0" xfId="0"/>
    <xf numFmtId="0" fontId="0" fillId="0" borderId="1" pivotButton="0" quotePrefix="0" xfId="0"/>
    <xf numFmtId="0" fontId="1" fillId="0" borderId="0" pivotButton="0" quotePrefix="0" xfId="0"/>
    <xf numFmtId="0" fontId="0" fillId="0" borderId="3" pivotButton="0" quotePrefix="0" xfId="0"/>
    <xf numFmtId="0" fontId="0" fillId="0" borderId="2" pivotButton="0" quotePrefix="0" xfId="0"/>
    <xf numFmtId="0" fontId="1" fillId="0" borderId="5" pivotButton="0" quotePrefix="0" xfId="0"/>
    <xf numFmtId="0" fontId="1" fillId="0" borderId="6" pivotButton="0" quotePrefix="0" xfId="0"/>
    <xf numFmtId="0" fontId="1" fillId="0" borderId="7" pivotButton="0" quotePrefix="0" xfId="0"/>
    <xf numFmtId="0" fontId="0" fillId="0" borderId="4" pivotButton="0" quotePrefix="0" xfId="0"/>
    <xf numFmtId="0" fontId="0" fillId="0" borderId="8" pivotButton="0" quotePrefix="0" xfId="0"/>
    <xf numFmtId="0" fontId="0" fillId="0" borderId="6" pivotButton="0" quotePrefix="0" xfId="0"/>
    <xf numFmtId="0" fontId="1" fillId="0" borderId="0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right" vertical="center" wrapText="1"/>
    </xf>
    <xf numFmtId="22" fontId="1" fillId="0" borderId="0" applyAlignment="1" pivotButton="0" quotePrefix="0" xfId="0">
      <alignment horizontal="center" vertical="center" wrapText="1"/>
    </xf>
    <xf numFmtId="0" fontId="0" fillId="0" borderId="9" pivotButton="0" quotePrefix="0" xfId="0"/>
    <xf numFmtId="0" fontId="2" fillId="2" borderId="0" applyAlignment="1" pivotButton="0" quotePrefix="0" xfId="0">
      <alignment horizontal="center"/>
    </xf>
    <xf numFmtId="0" fontId="2" fillId="3" borderId="0" applyAlignment="1" pivotButton="0" quotePrefix="0" xfId="0">
      <alignment horizontal="center"/>
    </xf>
    <xf numFmtId="0" fontId="2" fillId="3" borderId="0" pivotButton="0" quotePrefix="0" xfId="0"/>
    <xf numFmtId="0" fontId="0" fillId="0" borderId="10" pivotButton="0" quotePrefix="0" xfId="0"/>
    <xf numFmtId="0" fontId="0" fillId="0" borderId="11" pivotButton="0" quotePrefix="0" xfId="0"/>
    <xf numFmtId="0" fontId="2" fillId="4" borderId="0" applyAlignment="1" pivotButton="0" quotePrefix="0" xfId="0">
      <alignment horizontal="center"/>
    </xf>
    <xf numFmtId="0" fontId="2" fillId="4" borderId="0" pivotButton="0" quotePrefix="0" xfId="0"/>
    <xf numFmtId="0" fontId="1" fillId="5" borderId="0" applyAlignment="1" pivotButton="0" quotePrefix="0" xfId="0">
      <alignment horizontal="center"/>
    </xf>
    <xf numFmtId="0" fontId="1" fillId="6" borderId="0" applyAlignment="1" pivotButton="0" quotePrefix="0" xfId="0">
      <alignment horizontal="center"/>
    </xf>
    <xf numFmtId="0" fontId="2" fillId="7" borderId="10" applyAlignment="1" pivotButton="0" quotePrefix="0" xfId="0">
      <alignment horizontal="center"/>
    </xf>
    <xf numFmtId="0" fontId="3" fillId="7" borderId="10" pivotButton="0" quotePrefix="0" xfId="0"/>
    <xf numFmtId="0" fontId="2" fillId="7" borderId="10" pivotButton="0" quotePrefix="0" xfId="0"/>
    <xf numFmtId="0" fontId="2" fillId="8" borderId="10" pivotButton="0" quotePrefix="0" xfId="0"/>
    <xf numFmtId="0" fontId="2" fillId="8" borderId="10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0" fontId="0" fillId="0" borderId="14" pivotButton="0" quotePrefix="0" xfId="0"/>
  </cellXfs>
  <cellStyles count="1">
    <cellStyle name="Normal" xfId="0" builtinId="0"/>
  </cellStyles>
  <dxfs count="49"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right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/>
        <bottom/>
      </border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/>
    </dxf>
    <dxf>
      <numFmt numFmtId="0" formatCode="General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rgb="FF9D2053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rgb="FF9D2053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rgb="FF9D2053"/>
        </patternFill>
      </fill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rgb="FF9D2053"/>
        </patternFill>
      </fill>
      <alignment horizontal="center" vertical="bottom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condense val="0"/>
        <color theme="0" tint="-0.0499893185216834"/>
        <extend val="0"/>
        <sz val="11"/>
        <vertAlign val="baseline"/>
        <scheme val="minor"/>
      </font>
      <fill>
        <patternFill patternType="solid">
          <fgColor indexed="64"/>
          <bgColor rgb="FF9D2053"/>
        </patternFill>
      </fill>
      <alignment horizontal="center" vertical="bottom"/>
      <border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twoCellAnchor editAs="oneCell">
    <from>
      <col>1</col>
      <colOff>171450</colOff>
      <row>0</row>
      <rowOff>104775</rowOff>
    </from>
    <to>
      <col>1</col>
      <colOff>901700</colOff>
      <row>5</row>
      <rowOff>64680</rowOff>
    </to>
    <pic>
      <nvPicPr>
        <cNvPr id="22" name="Imagem 2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81000" y="104775"/>
          <a:ext cx="730250" cy="86478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12</col>
      <colOff>207645</colOff>
      <row>0</row>
      <rowOff>34291</rowOff>
    </from>
    <to>
      <col>14</col>
      <colOff>6350</colOff>
      <row>5</row>
      <rowOff>122913</rowOff>
    </to>
    <pic>
      <nvPicPr>
        <cNvPr id="28" name="Imagem 2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9115425" y="34291"/>
          <a:ext cx="1467485" cy="100302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femea_1" displayName="tabfemea_1" ref="B13:C20" headerRowCount="1" totalsRowShown="0" headerRowDxfId="48" headerRowBorderDxfId="47" totalsRowBorderDxfId="46">
  <autoFilter ref="B13:C20"/>
  <tableColumns count="2">
    <tableColumn id="1" name="."/>
    <tableColumn id="2" name="Classificação Fême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femea_2" displayName="tabfemea_2" ref="B22:C29" headerRowCount="1" totalsRowShown="0" headerRowDxfId="45">
  <autoFilter ref="B22:C29"/>
  <tableColumns count="2">
    <tableColumn id="1" name="."/>
    <tableColumn id="2" name="Classificação Fêmea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femea_3" displayName="tabfemea_3" ref="B31:C38" headerRowCount="1" totalsRowShown="0" headerRowDxfId="44">
  <autoFilter ref="B31:C38"/>
  <tableColumns count="2">
    <tableColumn id="1" name="."/>
    <tableColumn id="2" name="Classificação Fêmea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femea_4" displayName="tabfemea_4" ref="B40:C47" headerRowCount="1" totalsRowShown="0" headerRowDxfId="43">
  <autoFilter ref="B40:C47"/>
  <tableColumns count="2">
    <tableColumn id="1" name="."/>
    <tableColumn id="2" name="Classificação Fêmea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abfemea_5" displayName="tabfemea_5" ref="B49:C56" headerRowCount="1" totalsRowShown="0" headerRowDxfId="42">
  <autoFilter ref="B49:C56"/>
  <tableColumns count="2">
    <tableColumn id="1" name="."/>
    <tableColumn id="2" name="Classificação Fêmea" dataDxfId="41">
      <calculatedColumnFormula>SUM(C46:C49)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abfemea_6" displayName="tabfemea_6" ref="B58:C65" headerRowCount="1" totalsRowShown="0" headerRowDxfId="40">
  <autoFilter ref="B58:C65"/>
  <tableColumns count="2">
    <tableColumn id="1" name="."/>
    <tableColumn id="2" name="Classificação Fêmea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abfemea_7" displayName="tabfemea_7" ref="B67:C74" headerRowCount="1" totalsRowShown="0" headerRowDxfId="39">
  <autoFilter ref="B67:C74"/>
  <tableColumns count="2">
    <tableColumn id="1" name="."/>
    <tableColumn id="2" name="Classificação Fêmea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abfemea_8" displayName="tabfemea_8" ref="B76:C83" headerRowCount="1" totalsRowShown="0" headerRowDxfId="38">
  <autoFilter ref="B76:C83"/>
  <tableColumns count="2">
    <tableColumn id="1" name="."/>
    <tableColumn id="2" name="Classificação Fêmea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abfemea_9" displayName="tabfemea_9" ref="B85:C92" headerRowCount="1" totalsRowShown="0" headerRowDxfId="37">
  <autoFilter ref="B85:C92"/>
  <tableColumns count="2">
    <tableColumn id="1" name="."/>
    <tableColumn id="2" name="Classificação Fêmea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abfemea_10" displayName="tabfemea_10" ref="B94:C101" headerRowCount="1" totalsRowShown="0" headerRowDxfId="36">
  <autoFilter ref="B94:C101"/>
  <tableColumns count="2">
    <tableColumn id="1" name="."/>
    <tableColumn id="2" name="Classificação Fêmea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tabmacho_1" displayName="tabmacho_1" ref="E13:F20" headerRowCount="1" totalsRowShown="0" headerRowDxfId="35">
  <autoFilter ref="E13:F20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tabmacho_2" displayName="tabmacho_2" ref="E22:F29" headerRowCount="1" totalsRowShown="0" headerRowDxfId="34">
  <autoFilter ref="E22:F29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tabmacho_3" displayName="tabmacho_3" ref="E31:F38" headerRowCount="1" totalsRowShown="0" headerRowDxfId="33">
  <autoFilter ref="E31:F38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tabmacho_4" displayName="tabmacho_4" ref="E40:F47" headerRowCount="1" totalsRowShown="0" headerRowDxfId="32">
  <autoFilter ref="E40:F47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tabmacho_5" displayName="tabmacho_5" ref="E49:F56" headerRowCount="1" totalsRowShown="0" headerRowDxfId="31">
  <autoFilter ref="E49:F56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6" name="tabmacho_6" displayName="tabmacho_6" ref="E58:F65" headerRowCount="1" totalsRowShown="0" headerRowDxfId="30">
  <autoFilter ref="E58:F65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id="17" name="tabmacho_7" displayName="tabmacho_7" ref="E67:F74" headerRowCount="1" totalsRowShown="0" headerRowDxfId="29">
  <autoFilter ref="E67:F74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18" name="tabmacho_8" displayName="tabmacho_8" ref="E76:F83" headerRowCount="1" totalsRowShown="0" headerRowDxfId="28">
  <autoFilter ref="E76:F83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19" name="tabmacho_9" displayName="tabmacho_9" ref="E85:F92" headerRowCount="1" totalsRowShown="0" headerRowDxfId="27">
  <autoFilter ref="E85:F92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id="20" name="tabmacho_10" displayName="tabmacho_10" ref="E94:F101" headerRowCount="1" totalsRowShown="0" headerRowDxfId="26">
  <autoFilter ref="E94:F101"/>
  <tableColumns count="2">
    <tableColumn id="1" name="."/>
    <tableColumn id="2" name="Classificação Macho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id="21" name="tb_Mapeamento" displayName="tb_Mapeamento" ref="A2:H76" headerRowCount="1" totalsRowShown="0" headerRowDxfId="25" headerRowBorderDxfId="24" tableBorderDxfId="23" totalsRowBorderDxfId="22">
  <autoFilter ref="A2:H76"/>
  <tableColumns count="8">
    <tableColumn id="1" name="ORDEM" dataDxfId="21"/>
    <tableColumn id="2" name="ESPÉCIE" dataDxfId="20"/>
    <tableColumn id="3" name="ESTRATIFICAÇÃO" dataDxfId="19"/>
    <tableColumn id="4" name="SEXO" dataDxfId="18"/>
    <tableColumn id="5" name="ESTADO" dataDxfId="17"/>
    <tableColumn id="6" name="CLASSIFICAÇÃO" dataDxfId="16"/>
    <tableColumn id="7" name="CHAVE" dataDxfId="15">
      <calculatedColumnFormula>E3&amp;"|"&amp;D3&amp;"|"&amp;C3</calculatedColumnFormula>
    </tableColumn>
    <tableColumn id="8" name="ATIVO" dataDxfId="14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id="22" name="tb_Log" displayName="tb_Log" ref="A1:M2" headerRowCount="1" insertRow="1" totalsRowShown="0" dataDxfId="13">
  <autoFilter ref="A1:M2"/>
  <tableColumns count="13">
    <tableColumn id="1" name="Data/Hora" dataDxfId="12"/>
    <tableColumn id="2" name="Arquivo" dataDxfId="11"/>
    <tableColumn id="3" name="Fazenda" dataDxfId="10"/>
    <tableColumn id="4" name="Estado" dataDxfId="9"/>
    <tableColumn id="5" name="Espécie" dataDxfId="8"/>
    <tableColumn id="6" name="Sexo" dataDxfId="7"/>
    <tableColumn id="7" name="Estratificação" dataDxfId="6"/>
    <tableColumn id="8" name="Quantidade" dataDxfId="5"/>
    <tableColumn id="9" name="Motivo" dataDxfId="4"/>
    <tableColumn id="10" name="Tabela Destino" dataDxfId="3"/>
    <tableColumn id="11" name="Status" dataDxfId="2"/>
    <tableColumn id="12" name="CHAVE" dataDxfId="1"/>
    <tableColumn id="13" name="Nº Ficha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Relationship Type="http://schemas.openxmlformats.org/officeDocument/2006/relationships/table" Target="/xl/tables/table2.xml" Id="rId3"/><Relationship Type="http://schemas.openxmlformats.org/officeDocument/2006/relationships/table" Target="/xl/tables/table3.xml" Id="rId4"/><Relationship Type="http://schemas.openxmlformats.org/officeDocument/2006/relationships/table" Target="/xl/tables/table4.xml" Id="rId5"/><Relationship Type="http://schemas.openxmlformats.org/officeDocument/2006/relationships/table" Target="/xl/tables/table5.xml" Id="rId6"/><Relationship Type="http://schemas.openxmlformats.org/officeDocument/2006/relationships/table" Target="/xl/tables/table6.xml" Id="rId7"/><Relationship Type="http://schemas.openxmlformats.org/officeDocument/2006/relationships/table" Target="/xl/tables/table7.xml" Id="rId8"/><Relationship Type="http://schemas.openxmlformats.org/officeDocument/2006/relationships/table" Target="/xl/tables/table8.xml" Id="rId9"/><Relationship Type="http://schemas.openxmlformats.org/officeDocument/2006/relationships/table" Target="/xl/tables/table9.xml" Id="rId10"/><Relationship Type="http://schemas.openxmlformats.org/officeDocument/2006/relationships/table" Target="/xl/tables/table10.xml" Id="rId11"/><Relationship Type="http://schemas.openxmlformats.org/officeDocument/2006/relationships/table" Target="/xl/tables/table11.xml" Id="rId12"/><Relationship Type="http://schemas.openxmlformats.org/officeDocument/2006/relationships/table" Target="/xl/tables/table12.xml" Id="rId13"/><Relationship Type="http://schemas.openxmlformats.org/officeDocument/2006/relationships/table" Target="/xl/tables/table13.xml" Id="rId14"/><Relationship Type="http://schemas.openxmlformats.org/officeDocument/2006/relationships/table" Target="/xl/tables/table14.xml" Id="rId15"/><Relationship Type="http://schemas.openxmlformats.org/officeDocument/2006/relationships/table" Target="/xl/tables/table15.xml" Id="rId16"/><Relationship Type="http://schemas.openxmlformats.org/officeDocument/2006/relationships/table" Target="/xl/tables/table16.xml" Id="rId17"/><Relationship Type="http://schemas.openxmlformats.org/officeDocument/2006/relationships/table" Target="/xl/tables/table17.xml" Id="rId18"/><Relationship Type="http://schemas.openxmlformats.org/officeDocument/2006/relationships/table" Target="/xl/tables/table18.xml" Id="rId19"/><Relationship Type="http://schemas.openxmlformats.org/officeDocument/2006/relationships/table" Target="/xl/tables/table19.xml" Id="rId20"/><Relationship Type="http://schemas.openxmlformats.org/officeDocument/2006/relationships/table" Target="/xl/tables/table20.xml" Id="rId2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2.xml" Id="rId1"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B1:N102"/>
  <sheetViews>
    <sheetView showGridLines="0" tabSelected="1" workbookViewId="0">
      <selection activeCell="F16" sqref="F16"/>
    </sheetView>
  </sheetViews>
  <sheetFormatPr baseColWidth="8" defaultColWidth="0" defaultRowHeight="14.4"/>
  <cols>
    <col width="3" customWidth="1" min="1" max="1"/>
    <col width="16.44140625" bestFit="1" customWidth="1" style="18" min="2" max="2"/>
    <col width="23.33203125" bestFit="1" customWidth="1" style="18" min="3" max="3"/>
    <col width="1.109375" customWidth="1" style="18" min="4" max="4"/>
    <col width="16.44140625" bestFit="1" customWidth="1" style="18" min="5" max="5"/>
    <col width="27.109375" customWidth="1" style="18" min="6" max="6"/>
    <col width="1.109375" customWidth="1" min="7" max="7"/>
    <col width="12.88671875" bestFit="1" customWidth="1" min="8" max="8"/>
    <col width="0.5546875" customWidth="1" min="9" max="9"/>
    <col width="16.44140625" customWidth="1" min="10" max="10"/>
    <col width="10.88671875" bestFit="1" customWidth="1" min="11" max="11"/>
    <col width="0.5546875" customWidth="1" min="12" max="12"/>
    <col width="16.44140625" bestFit="1" customWidth="1" min="13" max="13"/>
    <col width="7.88671875" customWidth="1" min="14" max="14"/>
    <col width="3.5546875" customWidth="1" min="15" max="15"/>
    <col hidden="1" width="8.6640625" customWidth="1" min="16" max="16384"/>
  </cols>
  <sheetData>
    <row r="1">
      <c r="B1" t="inlineStr">
        <is>
          <t>Desenvolvido por:</t>
        </is>
      </c>
      <c r="C1" t="inlineStr">
        <is>
          <t>Vitoria Silva</t>
        </is>
      </c>
    </row>
    <row r="2"/>
    <row r="3"/>
    <row r="4"/>
    <row r="5"/>
    <row r="6"/>
    <row r="7"/>
    <row r="8"/>
    <row r="9" ht="14.4" customHeight="1"/>
    <row r="10" ht="4.5" customHeight="1"/>
    <row r="11"/>
    <row r="12"/>
    <row r="13">
      <c r="B13" s="20" t="inlineStr">
        <is>
          <t>.</t>
        </is>
      </c>
      <c r="C13" s="20" t="inlineStr">
        <is>
          <t>Classificação Fêmea</t>
        </is>
      </c>
      <c r="E13" s="16" t="inlineStr">
        <is>
          <t>.</t>
        </is>
      </c>
      <c r="F13" s="16" t="inlineStr">
        <is>
          <t>Classificação Macho</t>
        </is>
      </c>
      <c r="H13" s="24" t="inlineStr">
        <is>
          <t>Total Fazenda</t>
        </is>
      </c>
      <c r="J13" s="28" t="inlineStr">
        <is>
          <t>Total Rebanho</t>
        </is>
      </c>
      <c r="K13" s="30" t="n"/>
      <c r="M13" s="17" t="inlineStr">
        <is>
          <t>Total Macho</t>
        </is>
      </c>
      <c r="N13" s="17">
        <f>SUM(N14:N17)</f>
        <v/>
      </c>
    </row>
    <row r="14">
      <c r="B14" s="23" t="inlineStr">
        <is>
          <t>Fazenda</t>
        </is>
      </c>
      <c r="C14" s="23" t="inlineStr">
        <is>
          <t>Fazenda Boa Vista</t>
        </is>
      </c>
      <c r="E14" s="22" t="inlineStr">
        <is>
          <t>Fazenda</t>
        </is>
      </c>
      <c r="F14" s="22" t="inlineStr">
        <is>
          <t>Fazenda Boa Vista</t>
        </is>
      </c>
      <c r="H14" s="24" t="inlineStr">
        <is>
          <t>Numero 1</t>
        </is>
      </c>
      <c r="J14" s="27" t="inlineStr">
        <is>
          <t>Faixa</t>
        </is>
      </c>
      <c r="K14" s="27" t="inlineStr">
        <is>
          <t>Quantidade</t>
        </is>
      </c>
      <c r="M14" t="inlineStr">
        <is>
          <t>Bezerro</t>
        </is>
      </c>
      <c r="N14">
        <f>SUM(K15)</f>
        <v/>
      </c>
    </row>
    <row r="15">
      <c r="B15" s="23" t="inlineStr">
        <is>
          <t>Faixa</t>
        </is>
      </c>
      <c r="C15" s="23" t="inlineStr">
        <is>
          <t>Qtd</t>
        </is>
      </c>
      <c r="E15" s="22" t="inlineStr">
        <is>
          <t>Faixa</t>
        </is>
      </c>
      <c r="F15" s="22" t="inlineStr">
        <is>
          <t>Qtd</t>
        </is>
      </c>
      <c r="H15" s="25" t="n"/>
      <c r="J15" s="18" t="inlineStr">
        <is>
          <t>Bezerro</t>
        </is>
      </c>
      <c r="K15" s="18">
        <f>SUM(F16,F25,F34,F43,F52,F61,F70,F79,F88,F97)</f>
        <v/>
      </c>
      <c r="M15" t="inlineStr">
        <is>
          <t>Bezerro Desmama</t>
        </is>
      </c>
      <c r="N15">
        <f>K16</f>
        <v/>
      </c>
    </row>
    <row r="16">
      <c r="B16" t="inlineStr">
        <is>
          <t>Bezerra</t>
        </is>
      </c>
      <c r="C16" t="n">
        <v>120</v>
      </c>
      <c r="E16" t="inlineStr">
        <is>
          <t>Bezerro</t>
        </is>
      </c>
      <c r="F16" t="n">
        <v>115</v>
      </c>
      <c r="H16" s="18">
        <f>SUM(tabfemea_1[[#This Row],[Classificação Fêmea]],tabmacho_1[[#This Row],[Classificação Macho]])</f>
        <v/>
      </c>
      <c r="J16" s="18" t="inlineStr">
        <is>
          <t>Bezerro Desmama</t>
        </is>
      </c>
      <c r="K16" s="18">
        <f>SUM(F17,F26,F35,F44,F53,F62,F71,F80,F89,F98)</f>
        <v/>
      </c>
      <c r="M16" t="inlineStr">
        <is>
          <t>Garrote</t>
        </is>
      </c>
      <c r="N16">
        <f>K17</f>
        <v/>
      </c>
    </row>
    <row r="17">
      <c r="B17" t="inlineStr">
        <is>
          <t>Bezerra Desmama</t>
        </is>
      </c>
      <c r="C17" t="n">
        <v>85</v>
      </c>
      <c r="E17" t="inlineStr">
        <is>
          <t>Bezerro Desmama</t>
        </is>
      </c>
      <c r="F17" t="n">
        <v>80</v>
      </c>
      <c r="H17" s="18">
        <f>SUM(tabfemea_1[[#This Row],[Classificação Fêmea]],tabmacho_1[[#This Row],[Classificação Macho]])</f>
        <v/>
      </c>
      <c r="J17" s="18" t="inlineStr">
        <is>
          <t>Garrote</t>
        </is>
      </c>
      <c r="K17" s="18">
        <f>SUM(F18,F27,F36,F45,F54,F63,F72,F81,F90,F99)</f>
        <v/>
      </c>
      <c r="M17" t="inlineStr">
        <is>
          <t>Boi Gordo</t>
        </is>
      </c>
      <c r="N17">
        <f>K18</f>
        <v/>
      </c>
    </row>
    <row r="18">
      <c r="B18" t="inlineStr">
        <is>
          <t>Novilha</t>
        </is>
      </c>
      <c r="C18" t="n">
        <v>60</v>
      </c>
      <c r="E18" t="inlineStr">
        <is>
          <t>Garrote</t>
        </is>
      </c>
      <c r="F18" t="n">
        <v>55</v>
      </c>
      <c r="H18" s="18">
        <f>SUM(tabfemea_1[[#This Row],[Classificação Fêmea]],tabmacho_1[[#This Row],[Classificação Macho]])</f>
        <v/>
      </c>
      <c r="J18" s="18" t="inlineStr">
        <is>
          <t>Boi Gordo</t>
        </is>
      </c>
      <c r="K18" s="18">
        <f>SUM(F19,F28,F37,F46,F55,F64,F73,F82,F91,F100)</f>
        <v/>
      </c>
    </row>
    <row r="19">
      <c r="B19" t="inlineStr">
        <is>
          <t>Vaca</t>
        </is>
      </c>
      <c r="C19" t="n">
        <v>320</v>
      </c>
      <c r="E19" t="inlineStr">
        <is>
          <t>Boi Gordo</t>
        </is>
      </c>
      <c r="F19" t="n">
        <v>80</v>
      </c>
      <c r="H19" s="18">
        <f>SUM(tabfemea_1[[#This Row],[Classificação Fêmea]],tabmacho_1[[#This Row],[Classificação Macho]])</f>
        <v/>
      </c>
      <c r="J19" s="18" t="inlineStr">
        <is>
          <t>Bezerra</t>
        </is>
      </c>
      <c r="K19" s="18">
        <f>SUM(C16,C25,C34,C43,C52,C61,C70,C79,C88,C97)</f>
        <v/>
      </c>
      <c r="M19" s="20" t="inlineStr">
        <is>
          <t>Total Fêmea</t>
        </is>
      </c>
      <c r="N19" s="21">
        <f>SUM(N20:N23)</f>
        <v/>
      </c>
    </row>
    <row r="20">
      <c r="B20" s="21" t="inlineStr">
        <is>
          <t>Total</t>
        </is>
      </c>
      <c r="C20" s="21">
        <f>SUM(C16:C19)</f>
        <v/>
      </c>
      <c r="E20" s="17" t="inlineStr">
        <is>
          <t>Total</t>
        </is>
      </c>
      <c r="F20" s="17">
        <f>SUM(F16:F19)</f>
        <v/>
      </c>
      <c r="H20" s="26">
        <f>SUM(tabfemea_1[[#This Row],[Classificação Fêmea]],tabmacho_1[[#This Row],[Classificação Macho]])</f>
        <v/>
      </c>
      <c r="J20" s="18" t="inlineStr">
        <is>
          <t>Bezerra Desmama</t>
        </is>
      </c>
      <c r="K20" s="18">
        <f>SUM(C17,C26,C35,C44,C53,C62,C71,C80,C89,C98)</f>
        <v/>
      </c>
      <c r="M20" t="inlineStr">
        <is>
          <t>Bezerra</t>
        </is>
      </c>
      <c r="N20">
        <f>K19</f>
        <v/>
      </c>
    </row>
    <row r="21">
      <c r="J21" s="18" t="inlineStr">
        <is>
          <t>Novilha</t>
        </is>
      </c>
      <c r="K21" s="18">
        <f>SUM(C18,C27,C36,C45,C54,C63,C72,C81,C90,C99)</f>
        <v/>
      </c>
      <c r="M21" t="inlineStr">
        <is>
          <t>Bezerra Desmama</t>
        </is>
      </c>
      <c r="N21">
        <f>K20</f>
        <v/>
      </c>
    </row>
    <row r="22">
      <c r="B22" s="20" t="inlineStr">
        <is>
          <t>.</t>
        </is>
      </c>
      <c r="C22" s="20" t="inlineStr">
        <is>
          <t>Classificação Fêmea</t>
        </is>
      </c>
      <c r="E22" s="16" t="inlineStr">
        <is>
          <t>.</t>
        </is>
      </c>
      <c r="F22" s="16" t="inlineStr">
        <is>
          <t>Classificação Macho</t>
        </is>
      </c>
      <c r="H22" s="24" t="inlineStr">
        <is>
          <t>Total Fazenda</t>
        </is>
      </c>
      <c r="J22" s="18" t="inlineStr">
        <is>
          <t>Vaca</t>
        </is>
      </c>
      <c r="K22" s="18">
        <f>SUM(C19,C28,C37,C46,C55,C64,C73,C82,C91,C100)</f>
        <v/>
      </c>
      <c r="M22" t="inlineStr">
        <is>
          <t>Novilha</t>
        </is>
      </c>
      <c r="N22">
        <f>K21</f>
        <v/>
      </c>
    </row>
    <row r="23">
      <c r="B23" s="23" t="inlineStr">
        <is>
          <t>Fazenda</t>
        </is>
      </c>
      <c r="C23" s="23" t="inlineStr">
        <is>
          <t>Fazenda Santa Cruz</t>
        </is>
      </c>
      <c r="E23" s="22" t="inlineStr">
        <is>
          <t>Fazenda</t>
        </is>
      </c>
      <c r="F23" s="22" t="inlineStr">
        <is>
          <t>Fazenda Santa Cruz</t>
        </is>
      </c>
      <c r="H23" s="24" t="inlineStr">
        <is>
          <t>Numero 2</t>
        </is>
      </c>
      <c r="J23" s="27" t="inlineStr">
        <is>
          <t>Total</t>
        </is>
      </c>
      <c r="K23" s="27">
        <f>SUM(K15:K22)</f>
        <v/>
      </c>
      <c r="M23" t="inlineStr">
        <is>
          <t>Vaca</t>
        </is>
      </c>
      <c r="N23">
        <f>K22</f>
        <v/>
      </c>
    </row>
    <row r="24">
      <c r="B24" s="23" t="inlineStr">
        <is>
          <t>Faixa</t>
        </is>
      </c>
      <c r="C24" s="23" t="inlineStr">
        <is>
          <t>Qtd</t>
        </is>
      </c>
      <c r="E24" s="22" t="inlineStr">
        <is>
          <t>Faixa</t>
        </is>
      </c>
      <c r="F24" s="22" t="inlineStr">
        <is>
          <t>Qtd</t>
        </is>
      </c>
      <c r="H24" s="25" t="n"/>
    </row>
    <row r="25">
      <c r="B25" t="inlineStr">
        <is>
          <t>Bezerra</t>
        </is>
      </c>
      <c r="C25" t="n">
        <v>40</v>
      </c>
      <c r="E25" t="inlineStr">
        <is>
          <t>Bezerro</t>
        </is>
      </c>
      <c r="F25" t="n">
        <v>35</v>
      </c>
      <c r="H25" s="18">
        <f>SUM(C25,F25)</f>
        <v/>
      </c>
      <c r="K25" t="inlineStr">
        <is>
          <t xml:space="preserve"> </t>
        </is>
      </c>
    </row>
    <row r="26">
      <c r="B26" t="inlineStr">
        <is>
          <t>Bezerra Desmama</t>
        </is>
      </c>
      <c r="C26" t="n">
        <v>30</v>
      </c>
      <c r="E26" t="inlineStr">
        <is>
          <t>Bezerro Desmama</t>
        </is>
      </c>
      <c r="F26" t="n">
        <v>28</v>
      </c>
      <c r="H26" s="18">
        <f>SUM(C26,F26)</f>
        <v/>
      </c>
    </row>
    <row r="27">
      <c r="B27" t="inlineStr">
        <is>
          <t>Novilha</t>
        </is>
      </c>
      <c r="C27" t="n">
        <v>20</v>
      </c>
      <c r="E27" t="inlineStr">
        <is>
          <t>Garrote</t>
        </is>
      </c>
      <c r="F27" t="n">
        <v>18</v>
      </c>
      <c r="H27" s="18">
        <f>SUM(C27,F27)</f>
        <v/>
      </c>
    </row>
    <row r="28">
      <c r="B28" t="inlineStr">
        <is>
          <t>Vaca</t>
        </is>
      </c>
      <c r="C28" t="n">
        <v>150</v>
      </c>
      <c r="E28" t="inlineStr">
        <is>
          <t>Boi Gordo</t>
        </is>
      </c>
      <c r="F28" t="n">
        <v>45</v>
      </c>
      <c r="H28" s="18">
        <f>SUM(C28,F28)</f>
        <v/>
      </c>
    </row>
    <row r="29">
      <c r="B29" s="21" t="inlineStr">
        <is>
          <t>Total</t>
        </is>
      </c>
      <c r="C29" s="21">
        <f>SUM(C25:C28)</f>
        <v/>
      </c>
      <c r="E29" s="17" t="inlineStr">
        <is>
          <t>Total</t>
        </is>
      </c>
      <c r="F29" s="17">
        <f>SUM(F25:F28)</f>
        <v/>
      </c>
      <c r="H29" s="26">
        <f>SUM(C29,F29)</f>
        <v/>
      </c>
    </row>
    <row r="30"/>
    <row r="31">
      <c r="B31" s="20" t="inlineStr">
        <is>
          <t>.</t>
        </is>
      </c>
      <c r="C31" s="20" t="inlineStr">
        <is>
          <t>Classificação Fêmea</t>
        </is>
      </c>
      <c r="E31" s="16" t="inlineStr">
        <is>
          <t>.</t>
        </is>
      </c>
      <c r="F31" s="16" t="inlineStr">
        <is>
          <t>Classificação Macho</t>
        </is>
      </c>
      <c r="H31" s="24" t="inlineStr">
        <is>
          <t>Total Fazenda</t>
        </is>
      </c>
    </row>
    <row r="32">
      <c r="B32" s="23" t="inlineStr">
        <is>
          <t>Fazenda</t>
        </is>
      </c>
      <c r="C32" s="23" t="inlineStr">
        <is>
          <t>Numero 3</t>
        </is>
      </c>
      <c r="E32" s="22" t="inlineStr">
        <is>
          <t>Fazenda</t>
        </is>
      </c>
      <c r="F32" s="22" t="inlineStr">
        <is>
          <t>Numero 3</t>
        </is>
      </c>
      <c r="H32" s="24" t="inlineStr">
        <is>
          <t>Numero 3</t>
        </is>
      </c>
    </row>
    <row r="33">
      <c r="B33" s="23" t="inlineStr">
        <is>
          <t>Faixa</t>
        </is>
      </c>
      <c r="C33" s="23" t="inlineStr">
        <is>
          <t>Qtd</t>
        </is>
      </c>
      <c r="E33" s="22" t="inlineStr">
        <is>
          <t>Faixa</t>
        </is>
      </c>
      <c r="F33" s="22" t="inlineStr">
        <is>
          <t>Qtd</t>
        </is>
      </c>
      <c r="H33" s="25" t="n"/>
    </row>
    <row r="34">
      <c r="B34" t="inlineStr">
        <is>
          <t>Bezerra</t>
        </is>
      </c>
      <c r="E34" t="inlineStr">
        <is>
          <t>Bezerro</t>
        </is>
      </c>
      <c r="H34" s="18">
        <f>SUM(C34,F34)</f>
        <v/>
      </c>
    </row>
    <row r="35">
      <c r="B35" t="inlineStr">
        <is>
          <t>Bezerra Desmama</t>
        </is>
      </c>
      <c r="E35" t="inlineStr">
        <is>
          <t>Bezerro Desmama</t>
        </is>
      </c>
      <c r="H35" s="18">
        <f>SUM(C35,F35)</f>
        <v/>
      </c>
    </row>
    <row r="36">
      <c r="B36" t="inlineStr">
        <is>
          <t>Novilha</t>
        </is>
      </c>
      <c r="E36" t="inlineStr">
        <is>
          <t>Garrote</t>
        </is>
      </c>
      <c r="H36" s="18">
        <f>SUM(C36,F36)</f>
        <v/>
      </c>
    </row>
    <row r="37">
      <c r="B37" t="inlineStr">
        <is>
          <t>Vaca</t>
        </is>
      </c>
      <c r="E37" t="inlineStr">
        <is>
          <t>Boi Gordo</t>
        </is>
      </c>
      <c r="H37" s="18">
        <f>SUM(C37,F37)</f>
        <v/>
      </c>
    </row>
    <row r="38">
      <c r="B38" s="21" t="inlineStr">
        <is>
          <t>Total</t>
        </is>
      </c>
      <c r="C38" s="21">
        <f>SUM(C34:C37)</f>
        <v/>
      </c>
      <c r="E38" s="17" t="inlineStr">
        <is>
          <t>Total</t>
        </is>
      </c>
      <c r="F38" s="17">
        <f>SUM(F34:F37)</f>
        <v/>
      </c>
      <c r="H38" s="26">
        <f>SUM(C38,F38)</f>
        <v/>
      </c>
    </row>
    <row r="39"/>
    <row r="40">
      <c r="B40" s="20" t="inlineStr">
        <is>
          <t>.</t>
        </is>
      </c>
      <c r="C40" s="20" t="inlineStr">
        <is>
          <t>Classificação Fêmea</t>
        </is>
      </c>
      <c r="E40" s="16" t="inlineStr">
        <is>
          <t>.</t>
        </is>
      </c>
      <c r="F40" s="16" t="inlineStr">
        <is>
          <t>Classificação Macho</t>
        </is>
      </c>
      <c r="H40" s="24" t="inlineStr">
        <is>
          <t>Total Fazenda</t>
        </is>
      </c>
    </row>
    <row r="41">
      <c r="B41" s="23" t="inlineStr">
        <is>
          <t>Fazenda</t>
        </is>
      </c>
      <c r="C41" s="23" t="inlineStr">
        <is>
          <t>Numero 4</t>
        </is>
      </c>
      <c r="E41" s="22" t="inlineStr">
        <is>
          <t>Fazenda</t>
        </is>
      </c>
      <c r="F41" s="22" t="inlineStr">
        <is>
          <t>Numero 4</t>
        </is>
      </c>
      <c r="H41" s="24" t="inlineStr">
        <is>
          <t>Numero 4</t>
        </is>
      </c>
    </row>
    <row r="42">
      <c r="B42" s="23" t="inlineStr">
        <is>
          <t>Faixa</t>
        </is>
      </c>
      <c r="C42" s="23" t="inlineStr">
        <is>
          <t>Qtd</t>
        </is>
      </c>
      <c r="E42" s="22" t="inlineStr">
        <is>
          <t>Faixa</t>
        </is>
      </c>
      <c r="F42" s="22" t="inlineStr">
        <is>
          <t>Qtd</t>
        </is>
      </c>
      <c r="H42" s="25" t="n"/>
    </row>
    <row r="43">
      <c r="B43" t="inlineStr">
        <is>
          <t>Bezerra</t>
        </is>
      </c>
      <c r="E43" t="inlineStr">
        <is>
          <t>Bezerro</t>
        </is>
      </c>
      <c r="H43" s="18">
        <f>SUM(C43,F43)</f>
        <v/>
      </c>
    </row>
    <row r="44">
      <c r="B44" t="inlineStr">
        <is>
          <t>Bezerra Desmama</t>
        </is>
      </c>
      <c r="E44" t="inlineStr">
        <is>
          <t>Bezerro Desmama</t>
        </is>
      </c>
      <c r="H44" s="18">
        <f>SUM(C44,F44)</f>
        <v/>
      </c>
    </row>
    <row r="45">
      <c r="B45" t="inlineStr">
        <is>
          <t>Novilha</t>
        </is>
      </c>
      <c r="E45" t="inlineStr">
        <is>
          <t>Garrote</t>
        </is>
      </c>
      <c r="H45" s="18">
        <f>SUM(C45,F45)</f>
        <v/>
      </c>
    </row>
    <row r="46">
      <c r="B46" t="inlineStr">
        <is>
          <t>Vaca</t>
        </is>
      </c>
      <c r="E46" t="inlineStr">
        <is>
          <t>Boi Gordo</t>
        </is>
      </c>
      <c r="H46" s="18">
        <f>SUM(C46,F46)</f>
        <v/>
      </c>
    </row>
    <row r="47">
      <c r="B47" s="21" t="inlineStr">
        <is>
          <t>Total</t>
        </is>
      </c>
      <c r="C47" s="21">
        <f>SUM(C43:C46)</f>
        <v/>
      </c>
      <c r="E47" s="17" t="inlineStr">
        <is>
          <t>Total</t>
        </is>
      </c>
      <c r="F47" s="17">
        <f>SUM(F43:F46)</f>
        <v/>
      </c>
      <c r="H47" s="26">
        <f>SUM(C47,F47)</f>
        <v/>
      </c>
    </row>
    <row r="48"/>
    <row r="49">
      <c r="B49" s="20" t="inlineStr">
        <is>
          <t>.</t>
        </is>
      </c>
      <c r="C49" s="20" t="inlineStr">
        <is>
          <t>Classificação Fêmea</t>
        </is>
      </c>
      <c r="E49" s="16" t="inlineStr">
        <is>
          <t>.</t>
        </is>
      </c>
      <c r="F49" s="16" t="inlineStr">
        <is>
          <t>Classificação Macho</t>
        </is>
      </c>
      <c r="H49" s="24" t="inlineStr">
        <is>
          <t>Total Fazenda</t>
        </is>
      </c>
    </row>
    <row r="50">
      <c r="B50" s="23" t="inlineStr">
        <is>
          <t>Fazenda</t>
        </is>
      </c>
      <c r="C50" s="23" t="inlineStr">
        <is>
          <t>Numero 5</t>
        </is>
      </c>
      <c r="E50" s="22" t="inlineStr">
        <is>
          <t>Fazenda</t>
        </is>
      </c>
      <c r="F50" s="22" t="inlineStr">
        <is>
          <t>Numero 5</t>
        </is>
      </c>
      <c r="H50" s="24" t="inlineStr">
        <is>
          <t>Numero 5</t>
        </is>
      </c>
    </row>
    <row r="51">
      <c r="B51" s="23" t="inlineStr">
        <is>
          <t>Faixa</t>
        </is>
      </c>
      <c r="C51" s="23" t="inlineStr">
        <is>
          <t>Qtd</t>
        </is>
      </c>
      <c r="E51" s="22" t="inlineStr">
        <is>
          <t>Faixa</t>
        </is>
      </c>
      <c r="F51" s="22" t="inlineStr">
        <is>
          <t>Qtd</t>
        </is>
      </c>
      <c r="H51" s="25" t="n"/>
    </row>
    <row r="52">
      <c r="B52" t="inlineStr">
        <is>
          <t>Bezerra</t>
        </is>
      </c>
      <c r="E52" t="inlineStr">
        <is>
          <t>Bezerro</t>
        </is>
      </c>
      <c r="H52" s="18">
        <f>SUM(C52,F52)</f>
        <v/>
      </c>
    </row>
    <row r="53">
      <c r="B53" t="inlineStr">
        <is>
          <t>Bezerra Desmama</t>
        </is>
      </c>
      <c r="E53" t="inlineStr">
        <is>
          <t>Bezerro Desmama</t>
        </is>
      </c>
      <c r="H53" s="18">
        <f>SUM(C53,F53)</f>
        <v/>
      </c>
    </row>
    <row r="54">
      <c r="B54" t="inlineStr">
        <is>
          <t>Novilha</t>
        </is>
      </c>
      <c r="E54" t="inlineStr">
        <is>
          <t>Garrote</t>
        </is>
      </c>
      <c r="H54" s="18">
        <f>SUM(C54,F54)</f>
        <v/>
      </c>
    </row>
    <row r="55">
      <c r="B55" t="inlineStr">
        <is>
          <t>Vaca</t>
        </is>
      </c>
      <c r="E55" t="inlineStr">
        <is>
          <t>Boi Gordo</t>
        </is>
      </c>
      <c r="H55" s="18">
        <f>SUM(C55,F55)</f>
        <v/>
      </c>
    </row>
    <row r="56">
      <c r="B56" s="21" t="inlineStr">
        <is>
          <t>Total</t>
        </is>
      </c>
      <c r="C56" s="21">
        <f>SUM(C52:C55)</f>
        <v/>
      </c>
      <c r="E56" s="17" t="inlineStr">
        <is>
          <t>Total</t>
        </is>
      </c>
      <c r="F56" s="17">
        <f>SUM(F52:F55)</f>
        <v/>
      </c>
      <c r="H56" s="26">
        <f>SUM(C56,F56)</f>
        <v/>
      </c>
    </row>
    <row r="57"/>
    <row r="58">
      <c r="B58" s="20" t="inlineStr">
        <is>
          <t>.</t>
        </is>
      </c>
      <c r="C58" s="15" t="inlineStr">
        <is>
          <t>Classificação Fêmea</t>
        </is>
      </c>
      <c r="E58" s="16" t="inlineStr">
        <is>
          <t>.</t>
        </is>
      </c>
      <c r="F58" s="16" t="inlineStr">
        <is>
          <t>Classificação Macho</t>
        </is>
      </c>
      <c r="H58" s="24" t="inlineStr">
        <is>
          <t>Total Fazenda</t>
        </is>
      </c>
    </row>
    <row r="59">
      <c r="B59" s="23" t="inlineStr">
        <is>
          <t>Fazenda</t>
        </is>
      </c>
      <c r="C59" s="23" t="inlineStr">
        <is>
          <t>Numero 6</t>
        </is>
      </c>
      <c r="E59" s="22" t="inlineStr">
        <is>
          <t>Fazenda</t>
        </is>
      </c>
      <c r="F59" s="22" t="inlineStr">
        <is>
          <t>Numero 6</t>
        </is>
      </c>
      <c r="H59" s="24" t="inlineStr">
        <is>
          <t>Numero 6</t>
        </is>
      </c>
    </row>
    <row r="60">
      <c r="B60" s="23" t="inlineStr">
        <is>
          <t>Faixa</t>
        </is>
      </c>
      <c r="C60" s="23" t="inlineStr">
        <is>
          <t>Qtd</t>
        </is>
      </c>
      <c r="E60" s="22" t="inlineStr">
        <is>
          <t>Faixa</t>
        </is>
      </c>
      <c r="F60" s="22" t="inlineStr">
        <is>
          <t>Qtd</t>
        </is>
      </c>
      <c r="H60" s="25" t="n"/>
    </row>
    <row r="61">
      <c r="B61" t="inlineStr">
        <is>
          <t>Bezerra</t>
        </is>
      </c>
      <c r="E61" t="inlineStr">
        <is>
          <t>Bezerro</t>
        </is>
      </c>
      <c r="H61" s="18">
        <f>SUM(C61,F61)</f>
        <v/>
      </c>
    </row>
    <row r="62">
      <c r="B62" t="inlineStr">
        <is>
          <t>Bezerra Desmama</t>
        </is>
      </c>
      <c r="E62" t="inlineStr">
        <is>
          <t>Bezerro Desmama</t>
        </is>
      </c>
      <c r="H62" s="18">
        <f>SUM(C62,F62)</f>
        <v/>
      </c>
    </row>
    <row r="63">
      <c r="B63" t="inlineStr">
        <is>
          <t>Novilha</t>
        </is>
      </c>
      <c r="E63" t="inlineStr">
        <is>
          <t>Garrote</t>
        </is>
      </c>
      <c r="H63" s="18">
        <f>SUM(C63,F63)</f>
        <v/>
      </c>
    </row>
    <row r="64">
      <c r="B64" t="inlineStr">
        <is>
          <t>Vaca</t>
        </is>
      </c>
      <c r="E64" t="inlineStr">
        <is>
          <t>Boi Gordo</t>
        </is>
      </c>
      <c r="H64" s="18">
        <f>SUM(C64,F64)</f>
        <v/>
      </c>
    </row>
    <row r="65">
      <c r="B65" s="21" t="inlineStr">
        <is>
          <t>Total</t>
        </is>
      </c>
      <c r="C65" s="21">
        <f>SUM(C61:C64)</f>
        <v/>
      </c>
      <c r="E65" s="17" t="inlineStr">
        <is>
          <t>Total</t>
        </is>
      </c>
      <c r="F65" s="17">
        <f>SUM(F61:F64)</f>
        <v/>
      </c>
      <c r="H65" s="26">
        <f>SUM(C65,F65)</f>
        <v/>
      </c>
    </row>
    <row r="66"/>
    <row r="67">
      <c r="B67" s="20" t="inlineStr">
        <is>
          <t>.</t>
        </is>
      </c>
      <c r="C67" s="20" t="inlineStr">
        <is>
          <t>Classificação Fêmea</t>
        </is>
      </c>
      <c r="E67" s="16" t="inlineStr">
        <is>
          <t>.</t>
        </is>
      </c>
      <c r="F67" s="16" t="inlineStr">
        <is>
          <t>Classificação Macho</t>
        </is>
      </c>
      <c r="H67" s="24" t="inlineStr">
        <is>
          <t>Total Fazenda</t>
        </is>
      </c>
    </row>
    <row r="68">
      <c r="B68" s="23" t="inlineStr">
        <is>
          <t>Fazenda</t>
        </is>
      </c>
      <c r="C68" s="23" t="inlineStr">
        <is>
          <t>Numero 7</t>
        </is>
      </c>
      <c r="E68" s="22" t="inlineStr">
        <is>
          <t>Fazenda</t>
        </is>
      </c>
      <c r="F68" s="22" t="inlineStr">
        <is>
          <t>Numero 7</t>
        </is>
      </c>
      <c r="H68" s="24" t="inlineStr">
        <is>
          <t>Numero 7</t>
        </is>
      </c>
    </row>
    <row r="69">
      <c r="B69" s="23" t="inlineStr">
        <is>
          <t>Faixa</t>
        </is>
      </c>
      <c r="C69" s="23" t="inlineStr">
        <is>
          <t>Qtd</t>
        </is>
      </c>
      <c r="E69" s="22" t="inlineStr">
        <is>
          <t>Faixa</t>
        </is>
      </c>
      <c r="F69" s="22" t="inlineStr">
        <is>
          <t>Qtd</t>
        </is>
      </c>
      <c r="H69" s="25" t="n"/>
    </row>
    <row r="70">
      <c r="B70" t="inlineStr">
        <is>
          <t>Bezerra</t>
        </is>
      </c>
      <c r="E70" t="inlineStr">
        <is>
          <t>Bezerro</t>
        </is>
      </c>
      <c r="H70" s="18">
        <f>SUM(C70,F70)</f>
        <v/>
      </c>
    </row>
    <row r="71">
      <c r="B71" t="inlineStr">
        <is>
          <t>Bezerra Desmama</t>
        </is>
      </c>
      <c r="E71" t="inlineStr">
        <is>
          <t>Bezerro Desmama</t>
        </is>
      </c>
      <c r="H71" s="18">
        <f>SUM(C71,F71)</f>
        <v/>
      </c>
    </row>
    <row r="72">
      <c r="B72" t="inlineStr">
        <is>
          <t>Novilha</t>
        </is>
      </c>
      <c r="E72" t="inlineStr">
        <is>
          <t>Garrote</t>
        </is>
      </c>
      <c r="H72" s="18">
        <f>SUM(C72,F72)</f>
        <v/>
      </c>
    </row>
    <row r="73">
      <c r="B73" t="inlineStr">
        <is>
          <t>Vaca</t>
        </is>
      </c>
      <c r="E73" t="inlineStr">
        <is>
          <t>Boi Gordo</t>
        </is>
      </c>
      <c r="H73" s="18">
        <f>SUM(C73,F73)</f>
        <v/>
      </c>
    </row>
    <row r="74">
      <c r="B74" s="21" t="inlineStr">
        <is>
          <t>Total</t>
        </is>
      </c>
      <c r="C74" s="21">
        <f>SUM(C70:C73)</f>
        <v/>
      </c>
      <c r="E74" s="17" t="inlineStr">
        <is>
          <t>Total</t>
        </is>
      </c>
      <c r="F74" s="17">
        <f>SUM(F70:F73)</f>
        <v/>
      </c>
      <c r="H74" s="26">
        <f>SUM(C74,F74)</f>
        <v/>
      </c>
    </row>
    <row r="75"/>
    <row r="76">
      <c r="B76" s="20" t="inlineStr">
        <is>
          <t>.</t>
        </is>
      </c>
      <c r="C76" s="20" t="inlineStr">
        <is>
          <t>Classificação Fêmea</t>
        </is>
      </c>
      <c r="E76" s="16" t="inlineStr">
        <is>
          <t>.</t>
        </is>
      </c>
      <c r="F76" s="16" t="inlineStr">
        <is>
          <t>Classificação Macho</t>
        </is>
      </c>
      <c r="H76" s="24" t="inlineStr">
        <is>
          <t>Total Fazenda</t>
        </is>
      </c>
    </row>
    <row r="77">
      <c r="B77" s="23" t="inlineStr">
        <is>
          <t>Fazenda</t>
        </is>
      </c>
      <c r="C77" s="23" t="inlineStr">
        <is>
          <t>Numero 8</t>
        </is>
      </c>
      <c r="E77" s="22" t="inlineStr">
        <is>
          <t>Fazenda</t>
        </is>
      </c>
      <c r="F77" s="22" t="inlineStr">
        <is>
          <t>Numero 8</t>
        </is>
      </c>
      <c r="H77" s="24" t="inlineStr">
        <is>
          <t>Numero 8</t>
        </is>
      </c>
    </row>
    <row r="78">
      <c r="B78" s="23" t="inlineStr">
        <is>
          <t>Faixa</t>
        </is>
      </c>
      <c r="C78" s="23" t="inlineStr">
        <is>
          <t>Qtd</t>
        </is>
      </c>
      <c r="E78" s="22" t="inlineStr">
        <is>
          <t>Faixa</t>
        </is>
      </c>
      <c r="F78" s="22" t="inlineStr">
        <is>
          <t>Qtd</t>
        </is>
      </c>
      <c r="H78" s="25" t="n"/>
    </row>
    <row r="79">
      <c r="B79" t="inlineStr">
        <is>
          <t>Bezerra</t>
        </is>
      </c>
      <c r="E79" t="inlineStr">
        <is>
          <t>Bezerro</t>
        </is>
      </c>
      <c r="H79" s="18">
        <f>SUM(C79,F79)</f>
        <v/>
      </c>
    </row>
    <row r="80">
      <c r="B80" t="inlineStr">
        <is>
          <t>Bezerra Desmama</t>
        </is>
      </c>
      <c r="E80" t="inlineStr">
        <is>
          <t>Bezerro Desmama</t>
        </is>
      </c>
      <c r="H80" s="18">
        <f>SUM(C80,F80)</f>
        <v/>
      </c>
    </row>
    <row r="81">
      <c r="B81" t="inlineStr">
        <is>
          <t>Novilha</t>
        </is>
      </c>
      <c r="E81" t="inlineStr">
        <is>
          <t>Garrote</t>
        </is>
      </c>
      <c r="H81" s="18">
        <f>SUM(C81,F81)</f>
        <v/>
      </c>
    </row>
    <row r="82">
      <c r="B82" t="inlineStr">
        <is>
          <t>Vaca</t>
        </is>
      </c>
      <c r="E82" t="inlineStr">
        <is>
          <t>Boi Gordo</t>
        </is>
      </c>
      <c r="H82" s="18">
        <f>SUM(C82,F82)</f>
        <v/>
      </c>
    </row>
    <row r="83">
      <c r="B83" s="21" t="inlineStr">
        <is>
          <t>Total</t>
        </is>
      </c>
      <c r="C83" s="21">
        <f>SUM(C79:C82)</f>
        <v/>
      </c>
      <c r="E83" s="17" t="inlineStr">
        <is>
          <t>Total</t>
        </is>
      </c>
      <c r="F83" s="17">
        <f>SUM(F79:F82)</f>
        <v/>
      </c>
      <c r="H83" s="26">
        <f>SUM(C83,F83)</f>
        <v/>
      </c>
    </row>
    <row r="84"/>
    <row r="85">
      <c r="B85" s="20" t="inlineStr">
        <is>
          <t>.</t>
        </is>
      </c>
      <c r="C85" s="20" t="inlineStr">
        <is>
          <t>Classificação Fêmea</t>
        </is>
      </c>
      <c r="E85" s="16" t="inlineStr">
        <is>
          <t>.</t>
        </is>
      </c>
      <c r="F85" s="16" t="inlineStr">
        <is>
          <t>Classificação Macho</t>
        </is>
      </c>
      <c r="H85" s="24" t="inlineStr">
        <is>
          <t>Total Fazenda</t>
        </is>
      </c>
    </row>
    <row r="86">
      <c r="B86" s="23" t="inlineStr">
        <is>
          <t>Fazenda</t>
        </is>
      </c>
      <c r="C86" s="23" t="inlineStr">
        <is>
          <t>Numero 9</t>
        </is>
      </c>
      <c r="E86" s="22" t="inlineStr">
        <is>
          <t>Fazenda</t>
        </is>
      </c>
      <c r="F86" s="22" t="inlineStr">
        <is>
          <t>Numero 9</t>
        </is>
      </c>
      <c r="H86" s="24" t="inlineStr">
        <is>
          <t>Numero 9</t>
        </is>
      </c>
    </row>
    <row r="87">
      <c r="B87" s="23" t="inlineStr">
        <is>
          <t>Faixa</t>
        </is>
      </c>
      <c r="C87" s="23" t="inlineStr">
        <is>
          <t>Qtd</t>
        </is>
      </c>
      <c r="E87" s="22" t="inlineStr">
        <is>
          <t>Faixa</t>
        </is>
      </c>
      <c r="F87" s="22" t="inlineStr">
        <is>
          <t>Qtd</t>
        </is>
      </c>
      <c r="H87" s="25" t="n"/>
    </row>
    <row r="88">
      <c r="B88" t="inlineStr">
        <is>
          <t>Bezerra</t>
        </is>
      </c>
      <c r="E88" t="inlineStr">
        <is>
          <t>Bezerro</t>
        </is>
      </c>
      <c r="H88" s="18">
        <f>SUM(C88,F88)</f>
        <v/>
      </c>
    </row>
    <row r="89">
      <c r="B89" t="inlineStr">
        <is>
          <t>Bezerra Desmama</t>
        </is>
      </c>
      <c r="E89" t="inlineStr">
        <is>
          <t>Bezerro Desmama</t>
        </is>
      </c>
      <c r="H89" s="18">
        <f>SUM(C89,F89)</f>
        <v/>
      </c>
    </row>
    <row r="90">
      <c r="B90" t="inlineStr">
        <is>
          <t>Novilha</t>
        </is>
      </c>
      <c r="E90" t="inlineStr">
        <is>
          <t>Garrote</t>
        </is>
      </c>
      <c r="H90" s="18">
        <f>SUM(C90,F90)</f>
        <v/>
      </c>
    </row>
    <row r="91">
      <c r="B91" t="inlineStr">
        <is>
          <t>Vaca</t>
        </is>
      </c>
      <c r="E91" t="inlineStr">
        <is>
          <t>Boi Gordo</t>
        </is>
      </c>
      <c r="H91" s="18">
        <f>SUM(C91,F91)</f>
        <v/>
      </c>
    </row>
    <row r="92">
      <c r="B92" s="21" t="inlineStr">
        <is>
          <t>Total</t>
        </is>
      </c>
      <c r="C92" s="21">
        <f>SUM(C88:C91)</f>
        <v/>
      </c>
      <c r="E92" s="17" t="inlineStr">
        <is>
          <t>Total</t>
        </is>
      </c>
      <c r="F92" s="17">
        <f>SUM(F88:F91)</f>
        <v/>
      </c>
      <c r="H92" s="26">
        <f>SUM(C92,F92)</f>
        <v/>
      </c>
    </row>
    <row r="93"/>
    <row r="94">
      <c r="B94" s="20" t="inlineStr">
        <is>
          <t>.</t>
        </is>
      </c>
      <c r="C94" s="20" t="inlineStr">
        <is>
          <t>Classificação Fêmea</t>
        </is>
      </c>
      <c r="E94" s="16" t="inlineStr">
        <is>
          <t>.</t>
        </is>
      </c>
      <c r="F94" s="16" t="inlineStr">
        <is>
          <t>Classificação Macho</t>
        </is>
      </c>
      <c r="H94" s="24" t="inlineStr">
        <is>
          <t>Total Fazenda</t>
        </is>
      </c>
    </row>
    <row r="95">
      <c r="B95" s="23" t="inlineStr">
        <is>
          <t>Fazenda</t>
        </is>
      </c>
      <c r="C95" s="23" t="inlineStr">
        <is>
          <t>Numero 10</t>
        </is>
      </c>
      <c r="E95" s="22" t="inlineStr">
        <is>
          <t>Fazenda</t>
        </is>
      </c>
      <c r="F95" s="22" t="inlineStr">
        <is>
          <t>Numero 10</t>
        </is>
      </c>
      <c r="H95" s="24" t="inlineStr">
        <is>
          <t>Numero 10</t>
        </is>
      </c>
    </row>
    <row r="96">
      <c r="B96" s="23" t="inlineStr">
        <is>
          <t>Faixa</t>
        </is>
      </c>
      <c r="C96" s="23" t="inlineStr">
        <is>
          <t>Qtd</t>
        </is>
      </c>
      <c r="E96" s="22" t="inlineStr">
        <is>
          <t>Faixa</t>
        </is>
      </c>
      <c r="F96" s="22" t="inlineStr">
        <is>
          <t>Qtd</t>
        </is>
      </c>
      <c r="H96" s="25" t="n"/>
    </row>
    <row r="97">
      <c r="B97" t="inlineStr">
        <is>
          <t>Bezerra</t>
        </is>
      </c>
      <c r="E97" t="inlineStr">
        <is>
          <t>Bezerro</t>
        </is>
      </c>
      <c r="H97" s="18">
        <f>SUM(C97,F97)</f>
        <v/>
      </c>
    </row>
    <row r="98">
      <c r="B98" t="inlineStr">
        <is>
          <t>Bezerra Desmama</t>
        </is>
      </c>
      <c r="E98" t="inlineStr">
        <is>
          <t>Bezerro Desmama</t>
        </is>
      </c>
      <c r="H98" s="18">
        <f>SUM(C98,F98)</f>
        <v/>
      </c>
    </row>
    <row r="99">
      <c r="B99" t="inlineStr">
        <is>
          <t>Novilha</t>
        </is>
      </c>
      <c r="E99" t="inlineStr">
        <is>
          <t>Garrote</t>
        </is>
      </c>
      <c r="H99" s="18">
        <f>SUM(C99,F99)</f>
        <v/>
      </c>
    </row>
    <row r="100">
      <c r="B100" t="inlineStr">
        <is>
          <t>Vaca</t>
        </is>
      </c>
      <c r="E100" t="inlineStr">
        <is>
          <t>Boi Gordo</t>
        </is>
      </c>
      <c r="H100" s="18">
        <f>SUM(C100,F100)</f>
        <v/>
      </c>
    </row>
    <row r="101">
      <c r="B101" s="21" t="inlineStr">
        <is>
          <t>Total</t>
        </is>
      </c>
      <c r="C101" s="21">
        <f>SUM(C97:C100)</f>
        <v/>
      </c>
      <c r="E101" s="17" t="inlineStr">
        <is>
          <t>Total</t>
        </is>
      </c>
      <c r="F101" s="17">
        <f>SUM(F97:F100)</f>
        <v/>
      </c>
      <c r="H101" s="26">
        <f>SUM(C101,F101)</f>
        <v/>
      </c>
    </row>
    <row r="102">
      <c r="B102" s="19" t="n"/>
      <c r="C102" s="19" t="n"/>
      <c r="D102" s="19" t="n"/>
      <c r="E102" s="19" t="n"/>
      <c r="F102" s="19" t="n"/>
      <c r="H102" s="2" t="n"/>
    </row>
  </sheetData>
  <mergeCells count="1">
    <mergeCell ref="J13:K13"/>
  </mergeCells>
  <pageMargins left="0.511811024" right="0.511811024" top="0.787401575" bottom="0.787401575" header="0.31496062" footer="0.31496062"/>
  <drawing xmlns:r="http://schemas.openxmlformats.org/officeDocument/2006/relationships" r:id="rId1"/>
  <tableParts count="20"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  <tablePart xmlns:r="http://schemas.openxmlformats.org/officeDocument/2006/relationships" r:id="rId7"/>
    <tablePart xmlns:r="http://schemas.openxmlformats.org/officeDocument/2006/relationships" r:id="rId8"/>
    <tablePart xmlns:r="http://schemas.openxmlformats.org/officeDocument/2006/relationships" r:id="rId9"/>
    <tablePart xmlns:r="http://schemas.openxmlformats.org/officeDocument/2006/relationships" r:id="rId10"/>
    <tablePart xmlns:r="http://schemas.openxmlformats.org/officeDocument/2006/relationships" r:id="rId11"/>
    <tablePart xmlns:r="http://schemas.openxmlformats.org/officeDocument/2006/relationships" r:id="rId12"/>
    <tablePart xmlns:r="http://schemas.openxmlformats.org/officeDocument/2006/relationships" r:id="rId13"/>
    <tablePart xmlns:r="http://schemas.openxmlformats.org/officeDocument/2006/relationships" r:id="rId14"/>
    <tablePart xmlns:r="http://schemas.openxmlformats.org/officeDocument/2006/relationships" r:id="rId15"/>
    <tablePart xmlns:r="http://schemas.openxmlformats.org/officeDocument/2006/relationships" r:id="rId16"/>
    <tablePart xmlns:r="http://schemas.openxmlformats.org/officeDocument/2006/relationships" r:id="rId17"/>
    <tablePart xmlns:r="http://schemas.openxmlformats.org/officeDocument/2006/relationships" r:id="rId18"/>
    <tablePart xmlns:r="http://schemas.openxmlformats.org/officeDocument/2006/relationships" r:id="rId19"/>
    <tablePart xmlns:r="http://schemas.openxmlformats.org/officeDocument/2006/relationships" r:id="rId20"/>
    <tablePart xmlns:r="http://schemas.openxmlformats.org/officeDocument/2006/relationships" r:id="rId21"/>
  </tableParts>
</worksheet>
</file>

<file path=xl/worksheets/sheet2.xml><?xml version="1.0" encoding="utf-8"?>
<worksheet xmlns="http://schemas.openxmlformats.org/spreadsheetml/2006/main">
  <sheetPr codeName="Planilha2">
    <outlinePr summaryBelow="1" summaryRight="1"/>
    <pageSetUpPr/>
  </sheetPr>
  <dimension ref="A2:H76"/>
  <sheetViews>
    <sheetView topLeftCell="A58" workbookViewId="0">
      <selection activeCell="D72" sqref="D72"/>
    </sheetView>
  </sheetViews>
  <sheetFormatPr baseColWidth="8" defaultRowHeight="14.4"/>
  <cols>
    <col width="9.44140625" customWidth="1" min="1" max="1"/>
    <col width="10.33203125" customWidth="1" min="2" max="2"/>
    <col width="17.5546875" customWidth="1" min="3" max="3"/>
    <col width="7.5546875" customWidth="1" min="4" max="4"/>
    <col width="15.88671875" bestFit="1" customWidth="1" min="5" max="5"/>
    <col width="16.88671875" customWidth="1" min="6" max="6"/>
    <col width="40.88671875" bestFit="1" customWidth="1" min="7" max="7"/>
    <col width="52.5546875" bestFit="1" customWidth="1" min="9" max="9"/>
  </cols>
  <sheetData>
    <row r="2">
      <c r="A2" s="5" t="inlineStr">
        <is>
          <t>ORDEM</t>
        </is>
      </c>
      <c r="B2" s="6" t="inlineStr">
        <is>
          <t>ESPÉCIE</t>
        </is>
      </c>
      <c r="C2" s="6" t="inlineStr">
        <is>
          <t>ESTRATIFICAÇÃO</t>
        </is>
      </c>
      <c r="D2" s="6" t="inlineStr">
        <is>
          <t>SEXO</t>
        </is>
      </c>
      <c r="E2" s="6" t="inlineStr">
        <is>
          <t>ESTADO</t>
        </is>
      </c>
      <c r="F2" s="6" t="inlineStr">
        <is>
          <t>CLASSIFICAÇÃO</t>
        </is>
      </c>
      <c r="G2" s="7" t="inlineStr">
        <is>
          <t>CHAVE</t>
        </is>
      </c>
      <c r="H2" s="6" t="inlineStr">
        <is>
          <t>ATIVO</t>
        </is>
      </c>
    </row>
    <row r="3">
      <c r="A3" s="3" t="n">
        <v>1</v>
      </c>
      <c r="B3" s="1" t="inlineStr">
        <is>
          <t>BOVINO</t>
        </is>
      </c>
      <c r="C3" s="1" t="inlineStr">
        <is>
          <t>00 A 04 MESES</t>
        </is>
      </c>
      <c r="D3" s="1" t="inlineStr">
        <is>
          <t>FEMEA</t>
        </is>
      </c>
      <c r="E3" s="1" t="inlineStr">
        <is>
          <t>MT_DECLARACAO</t>
        </is>
      </c>
      <c r="F3" s="1" t="inlineStr">
        <is>
          <t>Bezerra</t>
        </is>
      </c>
      <c r="G3" s="4">
        <f>E3&amp;"|"&amp;D3&amp;"|"&amp;C3</f>
        <v/>
      </c>
      <c r="H3" s="10" t="inlineStr">
        <is>
          <t>SIM</t>
        </is>
      </c>
    </row>
    <row r="4">
      <c r="A4" s="3" t="n">
        <v>2</v>
      </c>
      <c r="B4" s="1" t="inlineStr">
        <is>
          <t>BOVINO</t>
        </is>
      </c>
      <c r="C4" s="1" t="inlineStr">
        <is>
          <t>05 A 12 MESES</t>
        </is>
      </c>
      <c r="D4" s="1" t="inlineStr">
        <is>
          <t>FEMEA</t>
        </is>
      </c>
      <c r="E4" s="1" t="inlineStr">
        <is>
          <t>MT_DECLARACAO</t>
        </is>
      </c>
      <c r="F4" s="1" t="inlineStr">
        <is>
          <t>Bezerra</t>
        </is>
      </c>
      <c r="G4" s="4">
        <f>E4&amp;"|"&amp;D4&amp;"|"&amp;C4</f>
        <v/>
      </c>
      <c r="H4" s="10" t="inlineStr">
        <is>
          <t>SIM</t>
        </is>
      </c>
    </row>
    <row r="5">
      <c r="A5" s="3" t="n">
        <v>3</v>
      </c>
      <c r="B5" s="1" t="inlineStr">
        <is>
          <t>BOVINO</t>
        </is>
      </c>
      <c r="C5" s="1" t="inlineStr">
        <is>
          <t>13 A 24 MESES</t>
        </is>
      </c>
      <c r="D5" s="1" t="inlineStr">
        <is>
          <t>FEMEA</t>
        </is>
      </c>
      <c r="E5" s="1" t="inlineStr">
        <is>
          <t>MT_DECLARACAO</t>
        </is>
      </c>
      <c r="F5" s="1" t="inlineStr">
        <is>
          <t>Bezerra Desmama</t>
        </is>
      </c>
      <c r="G5" s="4">
        <f>E5&amp;"|"&amp;D5&amp;"|"&amp;C5</f>
        <v/>
      </c>
      <c r="H5" s="10" t="inlineStr">
        <is>
          <t>SIM</t>
        </is>
      </c>
    </row>
    <row r="6">
      <c r="A6" s="3" t="n">
        <v>4</v>
      </c>
      <c r="B6" s="1" t="inlineStr">
        <is>
          <t>BOVINO</t>
        </is>
      </c>
      <c r="C6" s="1" t="inlineStr">
        <is>
          <t>25 A 36 MESES</t>
        </is>
      </c>
      <c r="D6" s="1" t="inlineStr">
        <is>
          <t>FEMEA</t>
        </is>
      </c>
      <c r="E6" s="1" t="inlineStr">
        <is>
          <t>MT_DECLARACAO</t>
        </is>
      </c>
      <c r="F6" s="1" t="inlineStr">
        <is>
          <t>Novilha</t>
        </is>
      </c>
      <c r="G6" s="4">
        <f>E6&amp;"|"&amp;D6&amp;"|"&amp;C6</f>
        <v/>
      </c>
      <c r="H6" s="10" t="inlineStr">
        <is>
          <t>SIM</t>
        </is>
      </c>
    </row>
    <row r="7">
      <c r="A7" s="3" t="n">
        <v>5</v>
      </c>
      <c r="B7" s="1" t="inlineStr">
        <is>
          <t>BOVINO</t>
        </is>
      </c>
      <c r="C7" s="1" t="inlineStr">
        <is>
          <t>ACIMA DE 36 MESES</t>
        </is>
      </c>
      <c r="D7" s="1" t="inlineStr">
        <is>
          <t>FEMEA</t>
        </is>
      </c>
      <c r="E7" s="1" t="inlineStr">
        <is>
          <t>MT_DECLARACAO</t>
        </is>
      </c>
      <c r="F7" s="1" t="inlineStr">
        <is>
          <t>Vaca</t>
        </is>
      </c>
      <c r="G7" s="4">
        <f>E7&amp;"|"&amp;D7&amp;"|"&amp;C7</f>
        <v/>
      </c>
      <c r="H7" s="10" t="inlineStr">
        <is>
          <t>SIM</t>
        </is>
      </c>
    </row>
    <row r="8">
      <c r="A8" s="3" t="n">
        <v>6</v>
      </c>
      <c r="B8" s="1" t="inlineStr">
        <is>
          <t>BOVINO</t>
        </is>
      </c>
      <c r="C8" s="1" t="inlineStr">
        <is>
          <t>00 A 04 MESES</t>
        </is>
      </c>
      <c r="D8" s="1" t="inlineStr">
        <is>
          <t>MACHO</t>
        </is>
      </c>
      <c r="E8" s="1" t="inlineStr">
        <is>
          <t>MT_DECLARACAO</t>
        </is>
      </c>
      <c r="F8" s="1" t="inlineStr">
        <is>
          <t>Bezerro</t>
        </is>
      </c>
      <c r="G8" s="4">
        <f>E8&amp;"|"&amp;D8&amp;"|"&amp;C8</f>
        <v/>
      </c>
      <c r="H8" s="10" t="inlineStr">
        <is>
          <t>SIM</t>
        </is>
      </c>
    </row>
    <row r="9">
      <c r="A9" s="3" t="n">
        <v>7</v>
      </c>
      <c r="B9" s="1" t="inlineStr">
        <is>
          <t>BOVINO</t>
        </is>
      </c>
      <c r="C9" s="1" t="inlineStr">
        <is>
          <t>05 A 12 MESES</t>
        </is>
      </c>
      <c r="D9" s="1" t="inlineStr">
        <is>
          <t>MACHO</t>
        </is>
      </c>
      <c r="E9" s="1" t="inlineStr">
        <is>
          <t>MT_DECLARACAO</t>
        </is>
      </c>
      <c r="F9" s="1" t="inlineStr">
        <is>
          <t>Bezerro</t>
        </is>
      </c>
      <c r="G9" s="4">
        <f>E9&amp;"|"&amp;D9&amp;"|"&amp;C9</f>
        <v/>
      </c>
      <c r="H9" s="10" t="inlineStr">
        <is>
          <t>SIM</t>
        </is>
      </c>
    </row>
    <row r="10">
      <c r="A10" s="3" t="n">
        <v>8</v>
      </c>
      <c r="B10" s="1" t="inlineStr">
        <is>
          <t>BOVINO</t>
        </is>
      </c>
      <c r="C10" s="1" t="inlineStr">
        <is>
          <t>13 A 24 MESES</t>
        </is>
      </c>
      <c r="D10" s="1" t="inlineStr">
        <is>
          <t>MACHO</t>
        </is>
      </c>
      <c r="E10" s="1" t="inlineStr">
        <is>
          <t>MT_DECLARACAO</t>
        </is>
      </c>
      <c r="F10" s="1" t="inlineStr">
        <is>
          <t>Bezerro Desmama</t>
        </is>
      </c>
      <c r="G10" s="4">
        <f>E10&amp;"|"&amp;D10&amp;"|"&amp;C10</f>
        <v/>
      </c>
      <c r="H10" s="10" t="inlineStr">
        <is>
          <t>SIM</t>
        </is>
      </c>
    </row>
    <row r="11">
      <c r="A11" s="3" t="n">
        <v>9</v>
      </c>
      <c r="B11" s="1" t="inlineStr">
        <is>
          <t>BOVINO</t>
        </is>
      </c>
      <c r="C11" s="1" t="inlineStr">
        <is>
          <t>25 A 36 MESES</t>
        </is>
      </c>
      <c r="D11" s="1" t="inlineStr">
        <is>
          <t>MACHO</t>
        </is>
      </c>
      <c r="E11" s="1" t="inlineStr">
        <is>
          <t>MT_DECLARACAO</t>
        </is>
      </c>
      <c r="F11" s="1" t="inlineStr">
        <is>
          <t>Garrote</t>
        </is>
      </c>
      <c r="G11" s="4">
        <f>E11&amp;"|"&amp;D11&amp;"|"&amp;C11</f>
        <v/>
      </c>
      <c r="H11" s="10" t="inlineStr">
        <is>
          <t>SIM</t>
        </is>
      </c>
    </row>
    <row r="12">
      <c r="A12" s="3" t="n">
        <v>10</v>
      </c>
      <c r="B12" s="1" t="inlineStr">
        <is>
          <t>BOVINO</t>
        </is>
      </c>
      <c r="C12" s="1" t="inlineStr">
        <is>
          <t>ACIMA DE 36 MESES</t>
        </is>
      </c>
      <c r="D12" s="1" t="inlineStr">
        <is>
          <t>MACHO</t>
        </is>
      </c>
      <c r="E12" s="1" t="inlineStr">
        <is>
          <t>MT_DECLARACAO</t>
        </is>
      </c>
      <c r="F12" s="1" t="inlineStr">
        <is>
          <t>Boi Gordo</t>
        </is>
      </c>
      <c r="G12" s="4">
        <f>E12&amp;"|"&amp;D12&amp;"|"&amp;C12</f>
        <v/>
      </c>
      <c r="H12" s="10" t="inlineStr">
        <is>
          <t>SIM</t>
        </is>
      </c>
    </row>
    <row r="13">
      <c r="A13" s="3" t="n">
        <v>11</v>
      </c>
      <c r="B13" s="1" t="inlineStr">
        <is>
          <t>BOVINO</t>
        </is>
      </c>
      <c r="C13" s="1" t="inlineStr">
        <is>
          <t>0 A 12 MESES</t>
        </is>
      </c>
      <c r="D13" s="1" t="inlineStr">
        <is>
          <t>FEMEA</t>
        </is>
      </c>
      <c r="E13" s="1" t="inlineStr">
        <is>
          <t>MS</t>
        </is>
      </c>
      <c r="F13" s="1" t="inlineStr">
        <is>
          <t>Bezerra</t>
        </is>
      </c>
      <c r="G13" s="4">
        <f>E13&amp;"|"&amp;D13&amp;"|"&amp;C13</f>
        <v/>
      </c>
      <c r="H13" s="10" t="inlineStr">
        <is>
          <t>SIM</t>
        </is>
      </c>
    </row>
    <row r="14">
      <c r="A14" s="3" t="n">
        <v>12</v>
      </c>
      <c r="B14" s="1" t="inlineStr">
        <is>
          <t>BOVINO</t>
        </is>
      </c>
      <c r="C14" s="1" t="inlineStr">
        <is>
          <t>13 A 24 MESES</t>
        </is>
      </c>
      <c r="D14" s="1" t="inlineStr">
        <is>
          <t>FEMEA</t>
        </is>
      </c>
      <c r="E14" s="1" t="inlineStr">
        <is>
          <t>MS</t>
        </is>
      </c>
      <c r="F14" s="1" t="inlineStr">
        <is>
          <t>Bezerra Desmama</t>
        </is>
      </c>
      <c r="G14" s="4">
        <f>E14&amp;"|"&amp;D14&amp;"|"&amp;C14</f>
        <v/>
      </c>
      <c r="H14" s="10" t="inlineStr">
        <is>
          <t>SIM</t>
        </is>
      </c>
    </row>
    <row r="15">
      <c r="A15" s="3" t="n">
        <v>13</v>
      </c>
      <c r="B15" s="1" t="inlineStr">
        <is>
          <t>BOVINO</t>
        </is>
      </c>
      <c r="C15" s="1" t="inlineStr">
        <is>
          <t>25 A 36 MESES</t>
        </is>
      </c>
      <c r="D15" s="1" t="inlineStr">
        <is>
          <t>FEMEA</t>
        </is>
      </c>
      <c r="E15" s="1" t="inlineStr">
        <is>
          <t>MS</t>
        </is>
      </c>
      <c r="F15" s="1" t="inlineStr">
        <is>
          <t>Novilha</t>
        </is>
      </c>
      <c r="G15" s="4">
        <f>E15&amp;"|"&amp;D15&amp;"|"&amp;C15</f>
        <v/>
      </c>
      <c r="H15" s="10" t="inlineStr">
        <is>
          <t>SIM</t>
        </is>
      </c>
    </row>
    <row r="16">
      <c r="A16" s="3" t="n">
        <v>14</v>
      </c>
      <c r="B16" s="1" t="inlineStr">
        <is>
          <t>BOVINO</t>
        </is>
      </c>
      <c r="C16" s="1" t="inlineStr">
        <is>
          <t>ACIMA DE 36 MESES</t>
        </is>
      </c>
      <c r="D16" s="1" t="inlineStr">
        <is>
          <t>FEMEA</t>
        </is>
      </c>
      <c r="E16" s="1" t="inlineStr">
        <is>
          <t>MS</t>
        </is>
      </c>
      <c r="F16" s="1" t="inlineStr">
        <is>
          <t>Vaca</t>
        </is>
      </c>
      <c r="G16" s="4">
        <f>E16&amp;"|"&amp;D16&amp;"|"&amp;C16</f>
        <v/>
      </c>
      <c r="H16" s="10" t="inlineStr">
        <is>
          <t>SIM</t>
        </is>
      </c>
    </row>
    <row r="17">
      <c r="A17" s="3" t="n">
        <v>15</v>
      </c>
      <c r="B17" s="1" t="inlineStr">
        <is>
          <t>BOVINO</t>
        </is>
      </c>
      <c r="C17" s="1" t="inlineStr">
        <is>
          <t>0 A 12 MESES</t>
        </is>
      </c>
      <c r="D17" s="1" t="inlineStr">
        <is>
          <t>MACHO</t>
        </is>
      </c>
      <c r="E17" s="1" t="inlineStr">
        <is>
          <t>MS</t>
        </is>
      </c>
      <c r="F17" s="1" t="inlineStr">
        <is>
          <t>Bezerro</t>
        </is>
      </c>
      <c r="G17" s="4">
        <f>E17&amp;"|"&amp;D17&amp;"|"&amp;C17</f>
        <v/>
      </c>
      <c r="H17" s="10" t="inlineStr">
        <is>
          <t>SIM</t>
        </is>
      </c>
    </row>
    <row r="18">
      <c r="A18" s="3" t="n">
        <v>16</v>
      </c>
      <c r="B18" s="1" t="inlineStr">
        <is>
          <t>BOVINO</t>
        </is>
      </c>
      <c r="C18" s="1" t="inlineStr">
        <is>
          <t>13 A 24 MESES</t>
        </is>
      </c>
      <c r="D18" s="1" t="inlineStr">
        <is>
          <t>MACHO</t>
        </is>
      </c>
      <c r="E18" s="1" t="inlineStr">
        <is>
          <t>MS</t>
        </is>
      </c>
      <c r="F18" s="1" t="inlineStr">
        <is>
          <t>Bezerro Desmama</t>
        </is>
      </c>
      <c r="G18" s="4">
        <f>E18&amp;"|"&amp;D18&amp;"|"&amp;C18</f>
        <v/>
      </c>
      <c r="H18" s="10" t="inlineStr">
        <is>
          <t>SIM</t>
        </is>
      </c>
    </row>
    <row r="19">
      <c r="A19" s="3" t="n">
        <v>17</v>
      </c>
      <c r="B19" s="1" t="inlineStr">
        <is>
          <t>BOVINO</t>
        </is>
      </c>
      <c r="C19" s="1" t="inlineStr">
        <is>
          <t>25 A 36 MESES</t>
        </is>
      </c>
      <c r="D19" s="1" t="inlineStr">
        <is>
          <t>MACHO</t>
        </is>
      </c>
      <c r="E19" s="1" t="inlineStr">
        <is>
          <t>MS</t>
        </is>
      </c>
      <c r="F19" s="1" t="inlineStr">
        <is>
          <t>Garrote</t>
        </is>
      </c>
      <c r="G19" s="4">
        <f>E19&amp;"|"&amp;D19&amp;"|"&amp;C19</f>
        <v/>
      </c>
      <c r="H19" s="10" t="inlineStr">
        <is>
          <t>SIM</t>
        </is>
      </c>
    </row>
    <row r="20">
      <c r="A20" s="3" t="n">
        <v>18</v>
      </c>
      <c r="B20" s="8" t="inlineStr">
        <is>
          <t>BOVINO</t>
        </is>
      </c>
      <c r="C20" s="8" t="inlineStr">
        <is>
          <t>ACIMA DE 36 MESES</t>
        </is>
      </c>
      <c r="D20" s="8" t="inlineStr">
        <is>
          <t>MACHO</t>
        </is>
      </c>
      <c r="E20" s="8" t="inlineStr">
        <is>
          <t>MS</t>
        </is>
      </c>
      <c r="F20" s="8" t="inlineStr">
        <is>
          <t>Boi Gordo</t>
        </is>
      </c>
      <c r="G20" s="9">
        <f>E20&amp;"|"&amp;D20&amp;"|"&amp;C20</f>
        <v/>
      </c>
      <c r="H20" s="10" t="inlineStr">
        <is>
          <t>SIM</t>
        </is>
      </c>
    </row>
    <row r="21">
      <c r="A21" s="3" t="n">
        <v>19</v>
      </c>
      <c r="B21" s="1" t="inlineStr">
        <is>
          <t>BOVINO</t>
        </is>
      </c>
      <c r="C21" s="1" t="inlineStr">
        <is>
          <t>00 A 04 MESES</t>
        </is>
      </c>
      <c r="D21" s="1" t="inlineStr">
        <is>
          <t>FEMEA</t>
        </is>
      </c>
      <c r="E21" s="1" t="inlineStr">
        <is>
          <t>GO_DECLARACAO</t>
        </is>
      </c>
      <c r="F21" s="1" t="inlineStr">
        <is>
          <t>Bezerra</t>
        </is>
      </c>
      <c r="G21" s="4">
        <f>E21&amp;"|"&amp;D21&amp;"|"&amp;C21</f>
        <v/>
      </c>
      <c r="H21" s="10" t="inlineStr">
        <is>
          <t>SIM</t>
        </is>
      </c>
    </row>
    <row r="22">
      <c r="A22" s="3" t="n">
        <v>20</v>
      </c>
      <c r="B22" s="1" t="inlineStr">
        <is>
          <t>BOVINO</t>
        </is>
      </c>
      <c r="C22" s="1" t="inlineStr">
        <is>
          <t>05 A 12 MESES</t>
        </is>
      </c>
      <c r="D22" s="1" t="inlineStr">
        <is>
          <t>FEMEA</t>
        </is>
      </c>
      <c r="E22" s="1" t="inlineStr">
        <is>
          <t>GO_DECLARACAO</t>
        </is>
      </c>
      <c r="F22" s="1" t="inlineStr">
        <is>
          <t>Bezerra</t>
        </is>
      </c>
      <c r="G22" s="4">
        <f>E22&amp;"|"&amp;D22&amp;"|"&amp;C22</f>
        <v/>
      </c>
      <c r="H22" s="10" t="inlineStr">
        <is>
          <t>SIM</t>
        </is>
      </c>
    </row>
    <row r="23">
      <c r="A23" s="3" t="n">
        <v>21</v>
      </c>
      <c r="B23" s="1" t="inlineStr">
        <is>
          <t>BOVINO</t>
        </is>
      </c>
      <c r="C23" s="1" t="inlineStr">
        <is>
          <t>13 A 24 MESES</t>
        </is>
      </c>
      <c r="D23" s="1" t="inlineStr">
        <is>
          <t>FEMEA</t>
        </is>
      </c>
      <c r="E23" s="1" t="inlineStr">
        <is>
          <t>GO_DECLARACAO</t>
        </is>
      </c>
      <c r="F23" s="1" t="inlineStr">
        <is>
          <t>Bezerra Desmama</t>
        </is>
      </c>
      <c r="G23" s="4">
        <f>E23&amp;"|"&amp;D23&amp;"|"&amp;C23</f>
        <v/>
      </c>
      <c r="H23" s="10" t="inlineStr">
        <is>
          <t>SIM</t>
        </is>
      </c>
    </row>
    <row r="24">
      <c r="A24" s="3" t="n">
        <v>22</v>
      </c>
      <c r="B24" s="1" t="inlineStr">
        <is>
          <t>BOVINO</t>
        </is>
      </c>
      <c r="C24" s="1" t="inlineStr">
        <is>
          <t>25 A 36 MESES</t>
        </is>
      </c>
      <c r="D24" s="1" t="inlineStr">
        <is>
          <t>FEMEA</t>
        </is>
      </c>
      <c r="E24" s="1" t="inlineStr">
        <is>
          <t>GO_DECLARACAO</t>
        </is>
      </c>
      <c r="F24" s="1" t="inlineStr">
        <is>
          <t>Novilha</t>
        </is>
      </c>
      <c r="G24" s="4">
        <f>E24&amp;"|"&amp;D24&amp;"|"&amp;C24</f>
        <v/>
      </c>
      <c r="H24" s="10" t="inlineStr">
        <is>
          <t>SIM</t>
        </is>
      </c>
    </row>
    <row r="25">
      <c r="A25" s="3" t="n">
        <v>23</v>
      </c>
      <c r="B25" s="1" t="inlineStr">
        <is>
          <t>BOVINO</t>
        </is>
      </c>
      <c r="C25" s="1" t="inlineStr">
        <is>
          <t>ACIMA DE 36 MESES</t>
        </is>
      </c>
      <c r="D25" s="1" t="inlineStr">
        <is>
          <t>FEMEA</t>
        </is>
      </c>
      <c r="E25" s="1" t="inlineStr">
        <is>
          <t>GO_DECLARACAO</t>
        </is>
      </c>
      <c r="F25" s="1" t="inlineStr">
        <is>
          <t>Vaca</t>
        </is>
      </c>
      <c r="G25" s="4">
        <f>E25&amp;"|"&amp;D25&amp;"|"&amp;C25</f>
        <v/>
      </c>
      <c r="H25" s="10" t="inlineStr">
        <is>
          <t>SIM</t>
        </is>
      </c>
    </row>
    <row r="26">
      <c r="A26" s="3" t="n">
        <v>24</v>
      </c>
      <c r="B26" s="1" t="inlineStr">
        <is>
          <t>BOVINO</t>
        </is>
      </c>
      <c r="C26" s="1" t="inlineStr">
        <is>
          <t>00 A 04 MESES</t>
        </is>
      </c>
      <c r="D26" s="1" t="inlineStr">
        <is>
          <t>MACHO</t>
        </is>
      </c>
      <c r="E26" s="1" t="inlineStr">
        <is>
          <t>GO_DECLARACAO</t>
        </is>
      </c>
      <c r="F26" s="1" t="inlineStr">
        <is>
          <t>Bezerro</t>
        </is>
      </c>
      <c r="G26" s="4">
        <f>E26&amp;"|"&amp;D26&amp;"|"&amp;C26</f>
        <v/>
      </c>
      <c r="H26" s="10" t="inlineStr">
        <is>
          <t>SIM</t>
        </is>
      </c>
    </row>
    <row r="27">
      <c r="A27" s="3" t="n">
        <v>25</v>
      </c>
      <c r="B27" s="1" t="inlineStr">
        <is>
          <t>BOVINO</t>
        </is>
      </c>
      <c r="C27" s="1" t="inlineStr">
        <is>
          <t>05 A 12 MESES</t>
        </is>
      </c>
      <c r="D27" s="1" t="inlineStr">
        <is>
          <t>MACHO</t>
        </is>
      </c>
      <c r="E27" s="1" t="inlineStr">
        <is>
          <t>GO_DECLARACAO</t>
        </is>
      </c>
      <c r="F27" s="1" t="inlineStr">
        <is>
          <t>Bezerro</t>
        </is>
      </c>
      <c r="G27" s="4">
        <f>E27&amp;"|"&amp;D27&amp;"|"&amp;C27</f>
        <v/>
      </c>
      <c r="H27" s="10" t="inlineStr">
        <is>
          <t>SIM</t>
        </is>
      </c>
    </row>
    <row r="28">
      <c r="A28" s="3" t="n">
        <v>26</v>
      </c>
      <c r="B28" s="1" t="inlineStr">
        <is>
          <t>BOVINO</t>
        </is>
      </c>
      <c r="C28" s="1" t="inlineStr">
        <is>
          <t>13 A 24 MESES</t>
        </is>
      </c>
      <c r="D28" s="1" t="inlineStr">
        <is>
          <t>MACHO</t>
        </is>
      </c>
      <c r="E28" s="1" t="inlineStr">
        <is>
          <t>GO_DECLARACAO</t>
        </is>
      </c>
      <c r="F28" s="1" t="inlineStr">
        <is>
          <t>Bezerro Desmama</t>
        </is>
      </c>
      <c r="G28" s="4">
        <f>E28&amp;"|"&amp;D28&amp;"|"&amp;C28</f>
        <v/>
      </c>
      <c r="H28" s="10" t="inlineStr">
        <is>
          <t>SIM</t>
        </is>
      </c>
    </row>
    <row r="29">
      <c r="A29" s="3" t="n">
        <v>27</v>
      </c>
      <c r="B29" s="1" t="inlineStr">
        <is>
          <t>BOVINO</t>
        </is>
      </c>
      <c r="C29" s="1" t="inlineStr">
        <is>
          <t>25 A 36 MESES</t>
        </is>
      </c>
      <c r="D29" s="1" t="inlineStr">
        <is>
          <t>MACHO</t>
        </is>
      </c>
      <c r="E29" s="1" t="inlineStr">
        <is>
          <t>GO_DECLARACAO</t>
        </is>
      </c>
      <c r="F29" s="1" t="inlineStr">
        <is>
          <t>Garrote</t>
        </is>
      </c>
      <c r="G29" s="4">
        <f>E29&amp;"|"&amp;D29&amp;"|"&amp;C29</f>
        <v/>
      </c>
      <c r="H29" s="10" t="inlineStr">
        <is>
          <t>SIM</t>
        </is>
      </c>
    </row>
    <row r="30">
      <c r="A30" s="3" t="n">
        <v>28</v>
      </c>
      <c r="B30" s="8" t="inlineStr">
        <is>
          <t>BOVINO</t>
        </is>
      </c>
      <c r="C30" s="8" t="inlineStr">
        <is>
          <t>ACIMA DE 36 MESES</t>
        </is>
      </c>
      <c r="D30" s="8" t="inlineStr">
        <is>
          <t>MACHO</t>
        </is>
      </c>
      <c r="E30" s="1" t="inlineStr">
        <is>
          <t>GO_DECLARACAO</t>
        </is>
      </c>
      <c r="F30" s="8" t="inlineStr">
        <is>
          <t>Boi Gordo</t>
        </is>
      </c>
      <c r="G30" s="9">
        <f>E30&amp;"|"&amp;D30&amp;"|"&amp;C30</f>
        <v/>
      </c>
      <c r="H30" s="14" t="inlineStr">
        <is>
          <t>SIM</t>
        </is>
      </c>
    </row>
    <row r="31">
      <c r="A31" s="3" t="n">
        <v>29</v>
      </c>
      <c r="B31" s="1" t="inlineStr">
        <is>
          <t>BOVINO</t>
        </is>
      </c>
      <c r="C31" s="1" t="inlineStr">
        <is>
          <t>00 A 04 MESES</t>
        </is>
      </c>
      <c r="D31" s="1" t="inlineStr">
        <is>
          <t>FEMEA</t>
        </is>
      </c>
      <c r="E31" s="1" t="inlineStr">
        <is>
          <t>GO IR</t>
        </is>
      </c>
      <c r="F31" s="1" t="inlineStr">
        <is>
          <t>Bezerra</t>
        </is>
      </c>
      <c r="G31" s="4">
        <f>E31&amp;"|"&amp;D31&amp;"|"&amp;C31</f>
        <v/>
      </c>
      <c r="H31" s="10" t="inlineStr">
        <is>
          <t>SIM</t>
        </is>
      </c>
    </row>
    <row r="32">
      <c r="A32" s="3" t="n">
        <v>30</v>
      </c>
      <c r="B32" s="1" t="inlineStr">
        <is>
          <t>BOVINO</t>
        </is>
      </c>
      <c r="C32" s="1" t="inlineStr">
        <is>
          <t>05 A 12 MESES</t>
        </is>
      </c>
      <c r="D32" s="1" t="inlineStr">
        <is>
          <t>FEMEA</t>
        </is>
      </c>
      <c r="E32" s="1" t="inlineStr">
        <is>
          <t>GO IR</t>
        </is>
      </c>
      <c r="F32" s="1" t="inlineStr">
        <is>
          <t>Bezerra</t>
        </is>
      </c>
      <c r="G32" s="4">
        <f>E32&amp;"|"&amp;D32&amp;"|"&amp;C32</f>
        <v/>
      </c>
      <c r="H32" s="10" t="inlineStr">
        <is>
          <t>SIM</t>
        </is>
      </c>
    </row>
    <row r="33">
      <c r="A33" s="3" t="n">
        <v>31</v>
      </c>
      <c r="B33" s="1" t="inlineStr">
        <is>
          <t>BOVINO</t>
        </is>
      </c>
      <c r="C33" s="1" t="inlineStr">
        <is>
          <t>13 A 24 MESES</t>
        </is>
      </c>
      <c r="D33" s="1" t="inlineStr">
        <is>
          <t>FEMEA</t>
        </is>
      </c>
      <c r="E33" s="1" t="inlineStr">
        <is>
          <t>GO IR</t>
        </is>
      </c>
      <c r="F33" s="1" t="inlineStr">
        <is>
          <t>Bezerra Desmama</t>
        </is>
      </c>
      <c r="G33" s="4">
        <f>E33&amp;"|"&amp;D33&amp;"|"&amp;C33</f>
        <v/>
      </c>
      <c r="H33" s="10" t="inlineStr">
        <is>
          <t>SIM</t>
        </is>
      </c>
    </row>
    <row r="34">
      <c r="A34" s="3" t="n">
        <v>32</v>
      </c>
      <c r="B34" s="1" t="inlineStr">
        <is>
          <t>BOVINO</t>
        </is>
      </c>
      <c r="C34" s="1" t="inlineStr">
        <is>
          <t>25 A 36 MESES</t>
        </is>
      </c>
      <c r="D34" s="1" t="inlineStr">
        <is>
          <t>FEMEA</t>
        </is>
      </c>
      <c r="E34" s="1" t="inlineStr">
        <is>
          <t>GO IR</t>
        </is>
      </c>
      <c r="F34" s="1" t="inlineStr">
        <is>
          <t>Novilha</t>
        </is>
      </c>
      <c r="G34" s="4">
        <f>E34&amp;"|"&amp;D34&amp;"|"&amp;C34</f>
        <v/>
      </c>
      <c r="H34" s="10" t="inlineStr">
        <is>
          <t>SIM</t>
        </is>
      </c>
    </row>
    <row r="35">
      <c r="A35" s="3" t="n">
        <v>33</v>
      </c>
      <c r="B35" s="1" t="inlineStr">
        <is>
          <t>BOVINO</t>
        </is>
      </c>
      <c r="C35" s="1" t="inlineStr">
        <is>
          <t>ACIMA DE 36 MESES</t>
        </is>
      </c>
      <c r="D35" s="1" t="inlineStr">
        <is>
          <t>FEMEA</t>
        </is>
      </c>
      <c r="E35" s="1" t="inlineStr">
        <is>
          <t>GO IR</t>
        </is>
      </c>
      <c r="F35" s="1" t="inlineStr">
        <is>
          <t>Vaca</t>
        </is>
      </c>
      <c r="G35" s="4">
        <f>E35&amp;"|"&amp;D35&amp;"|"&amp;C35</f>
        <v/>
      </c>
      <c r="H35" s="10" t="inlineStr">
        <is>
          <t>SIM</t>
        </is>
      </c>
    </row>
    <row r="36">
      <c r="A36" s="3" t="n">
        <v>34</v>
      </c>
      <c r="B36" s="1" t="inlineStr">
        <is>
          <t>BOVINO</t>
        </is>
      </c>
      <c r="C36" s="1" t="inlineStr">
        <is>
          <t>00 A 04 MESES</t>
        </is>
      </c>
      <c r="D36" s="1" t="inlineStr">
        <is>
          <t>MACHO</t>
        </is>
      </c>
      <c r="E36" s="1" t="inlineStr">
        <is>
          <t>GO IR</t>
        </is>
      </c>
      <c r="F36" s="1" t="inlineStr">
        <is>
          <t>Bezerro</t>
        </is>
      </c>
      <c r="G36" s="4">
        <f>E36&amp;"|"&amp;D36&amp;"|"&amp;C36</f>
        <v/>
      </c>
      <c r="H36" s="10" t="inlineStr">
        <is>
          <t>SIM</t>
        </is>
      </c>
    </row>
    <row r="37">
      <c r="A37" s="3" t="n">
        <v>35</v>
      </c>
      <c r="B37" s="1" t="inlineStr">
        <is>
          <t>BOVINO</t>
        </is>
      </c>
      <c r="C37" s="1" t="inlineStr">
        <is>
          <t>05 A 12 MESES</t>
        </is>
      </c>
      <c r="D37" s="1" t="inlineStr">
        <is>
          <t>MACHO</t>
        </is>
      </c>
      <c r="E37" s="1" t="inlineStr">
        <is>
          <t>GO IR</t>
        </is>
      </c>
      <c r="F37" s="1" t="inlineStr">
        <is>
          <t>Bezerro</t>
        </is>
      </c>
      <c r="G37" s="4">
        <f>E37&amp;"|"&amp;D37&amp;"|"&amp;C37</f>
        <v/>
      </c>
      <c r="H37" s="10" t="inlineStr">
        <is>
          <t>SIM</t>
        </is>
      </c>
    </row>
    <row r="38">
      <c r="A38" s="3" t="n">
        <v>36</v>
      </c>
      <c r="B38" s="1" t="inlineStr">
        <is>
          <t>BOVINO</t>
        </is>
      </c>
      <c r="C38" s="1" t="inlineStr">
        <is>
          <t>13 A 24 MESES</t>
        </is>
      </c>
      <c r="D38" s="1" t="inlineStr">
        <is>
          <t>MACHO</t>
        </is>
      </c>
      <c r="E38" s="1" t="inlineStr">
        <is>
          <t>GO IR</t>
        </is>
      </c>
      <c r="F38" s="1" t="inlineStr">
        <is>
          <t>Bezerro Desmama</t>
        </is>
      </c>
      <c r="G38" s="4">
        <f>E38&amp;"|"&amp;D38&amp;"|"&amp;C38</f>
        <v/>
      </c>
      <c r="H38" s="10" t="inlineStr">
        <is>
          <t>SIM</t>
        </is>
      </c>
    </row>
    <row r="39">
      <c r="A39" s="3" t="n">
        <v>37</v>
      </c>
      <c r="B39" s="1" t="inlineStr">
        <is>
          <t>BOVINO</t>
        </is>
      </c>
      <c r="C39" s="1" t="inlineStr">
        <is>
          <t>25 A 36 MESES</t>
        </is>
      </c>
      <c r="D39" s="1" t="inlineStr">
        <is>
          <t>MACHO</t>
        </is>
      </c>
      <c r="E39" s="1" t="inlineStr">
        <is>
          <t>GO IR</t>
        </is>
      </c>
      <c r="F39" s="1" t="inlineStr">
        <is>
          <t>Garrote</t>
        </is>
      </c>
      <c r="G39" s="4">
        <f>E39&amp;"|"&amp;D39&amp;"|"&amp;C39</f>
        <v/>
      </c>
      <c r="H39" s="10" t="inlineStr">
        <is>
          <t>SIM</t>
        </is>
      </c>
    </row>
    <row r="40">
      <c r="A40" s="3" t="n">
        <v>38</v>
      </c>
      <c r="B40" s="8" t="inlineStr">
        <is>
          <t>BOVINO</t>
        </is>
      </c>
      <c r="C40" s="8" t="inlineStr">
        <is>
          <t>ACIMA DE 36 MESES</t>
        </is>
      </c>
      <c r="D40" s="8" t="inlineStr">
        <is>
          <t>MACHO</t>
        </is>
      </c>
      <c r="E40" s="1" t="inlineStr">
        <is>
          <t>GO IR</t>
        </is>
      </c>
      <c r="F40" s="8" t="inlineStr">
        <is>
          <t>Boi Gordo</t>
        </is>
      </c>
      <c r="G40" s="9">
        <f>E40&amp;"|"&amp;D40&amp;"|"&amp;C40</f>
        <v/>
      </c>
      <c r="H40" s="14" t="inlineStr">
        <is>
          <t>SIM</t>
        </is>
      </c>
    </row>
    <row r="41">
      <c r="A41" s="3" t="n">
        <v>39</v>
      </c>
      <c r="B41" s="8" t="inlineStr">
        <is>
          <t>BOVINO</t>
        </is>
      </c>
      <c r="C41" s="8" t="inlineStr">
        <is>
          <t>0 A 12 MESES</t>
        </is>
      </c>
      <c r="D41" s="8" t="inlineStr">
        <is>
          <t>MACHO</t>
        </is>
      </c>
      <c r="E41" s="8" t="inlineStr">
        <is>
          <t>GO IR</t>
        </is>
      </c>
      <c r="F41" s="8" t="inlineStr">
        <is>
          <t>Bezerro</t>
        </is>
      </c>
      <c r="G41" s="9">
        <f>E41&amp;"|"&amp;D41&amp;"|"&amp;C41</f>
        <v/>
      </c>
      <c r="H41" s="14" t="inlineStr">
        <is>
          <t>SIM</t>
        </is>
      </c>
    </row>
    <row r="42">
      <c r="A42" s="3" t="n">
        <v>40</v>
      </c>
      <c r="B42" s="8" t="inlineStr">
        <is>
          <t>BOVINO</t>
        </is>
      </c>
      <c r="C42" s="8" t="inlineStr">
        <is>
          <t>0 A 12 MESES</t>
        </is>
      </c>
      <c r="D42" s="8" t="inlineStr">
        <is>
          <t>MACHO</t>
        </is>
      </c>
      <c r="E42" s="1" t="inlineStr">
        <is>
          <t>GO_DECLARACAO</t>
        </is>
      </c>
      <c r="F42" s="8" t="inlineStr">
        <is>
          <t>Bezerro</t>
        </is>
      </c>
      <c r="G42" s="9">
        <f>E42&amp;"|"&amp;D42&amp;"|"&amp;C42</f>
        <v/>
      </c>
      <c r="H42" s="14" t="inlineStr">
        <is>
          <t>SIM</t>
        </is>
      </c>
    </row>
    <row r="43">
      <c r="A43" s="3" t="n">
        <v>41</v>
      </c>
      <c r="B43" s="8" t="inlineStr">
        <is>
          <t>BOVINO</t>
        </is>
      </c>
      <c r="C43" s="8" t="inlineStr">
        <is>
          <t>0 A 12 MESES</t>
        </is>
      </c>
      <c r="D43" s="8" t="inlineStr">
        <is>
          <t>FEMEA</t>
        </is>
      </c>
      <c r="E43" s="1" t="inlineStr">
        <is>
          <t>GO_DECLARACAO</t>
        </is>
      </c>
      <c r="F43" s="8" t="inlineStr">
        <is>
          <t>Bezerra</t>
        </is>
      </c>
      <c r="G43" s="9">
        <f>E43&amp;"|"&amp;D43&amp;"|"&amp;C43</f>
        <v/>
      </c>
      <c r="H43" s="14" t="inlineStr">
        <is>
          <t>SIM</t>
        </is>
      </c>
    </row>
    <row r="44">
      <c r="A44" s="3" t="n">
        <v>42</v>
      </c>
      <c r="B44" s="8" t="inlineStr">
        <is>
          <t>BOVINO</t>
        </is>
      </c>
      <c r="C44" s="8" t="inlineStr">
        <is>
          <t>0 A 12 MESES</t>
        </is>
      </c>
      <c r="D44" s="8" t="inlineStr">
        <is>
          <t>FEMEA</t>
        </is>
      </c>
      <c r="E44" s="8" t="inlineStr">
        <is>
          <t>GO IR</t>
        </is>
      </c>
      <c r="F44" s="8" t="inlineStr">
        <is>
          <t>Bezerra</t>
        </is>
      </c>
      <c r="G44" s="9">
        <f>E44&amp;"|"&amp;D44&amp;"|"&amp;C44</f>
        <v/>
      </c>
      <c r="H44" s="14" t="inlineStr">
        <is>
          <t>SIM</t>
        </is>
      </c>
    </row>
    <row r="45">
      <c r="A45" s="3" t="n">
        <v>43</v>
      </c>
      <c r="B45" s="8" t="inlineStr">
        <is>
          <t>BOVINO</t>
        </is>
      </c>
      <c r="C45" s="1" t="inlineStr">
        <is>
          <t>0 A 12 MESES</t>
        </is>
      </c>
      <c r="D45" s="8" t="inlineStr">
        <is>
          <t>MACHO</t>
        </is>
      </c>
      <c r="E45" s="1" t="inlineStr">
        <is>
          <t>MA</t>
        </is>
      </c>
      <c r="F45" s="8" t="inlineStr">
        <is>
          <t>Bezerro</t>
        </is>
      </c>
      <c r="G45" s="4">
        <f>E45&amp;"|"&amp;D45&amp;"|"&amp;C45</f>
        <v/>
      </c>
      <c r="H45" s="14" t="inlineStr">
        <is>
          <t>SIM</t>
        </is>
      </c>
    </row>
    <row r="46">
      <c r="A46" s="3" t="n">
        <v>44</v>
      </c>
      <c r="B46" s="8" t="inlineStr">
        <is>
          <t>BOVINO</t>
        </is>
      </c>
      <c r="C46" s="1" t="inlineStr">
        <is>
          <t>0 A 12 MESES</t>
        </is>
      </c>
      <c r="D46" s="8" t="inlineStr">
        <is>
          <t>FEMEA</t>
        </is>
      </c>
      <c r="E46" s="1" t="inlineStr">
        <is>
          <t>MA</t>
        </is>
      </c>
      <c r="F46" s="8" t="inlineStr">
        <is>
          <t>Bezerra</t>
        </is>
      </c>
      <c r="G46" s="4">
        <f>E46&amp;"|"&amp;D46&amp;"|"&amp;C46</f>
        <v/>
      </c>
      <c r="H46" s="14" t="inlineStr">
        <is>
          <t>SIM</t>
        </is>
      </c>
    </row>
    <row r="47">
      <c r="A47" s="3" t="n">
        <v>45</v>
      </c>
      <c r="B47" s="8" t="inlineStr">
        <is>
          <t>BOVINO</t>
        </is>
      </c>
      <c r="C47" s="1" t="inlineStr">
        <is>
          <t>13 A 24 MESES</t>
        </is>
      </c>
      <c r="D47" s="8" t="inlineStr">
        <is>
          <t>MACHO</t>
        </is>
      </c>
      <c r="E47" s="1" t="inlineStr">
        <is>
          <t>MA</t>
        </is>
      </c>
      <c r="F47" s="1" t="inlineStr">
        <is>
          <t>Bezerro Desmama</t>
        </is>
      </c>
      <c r="G47" s="4">
        <f>E47&amp;"|"&amp;D47&amp;"|"&amp;C47</f>
        <v/>
      </c>
      <c r="H47" s="14" t="inlineStr">
        <is>
          <t>SIM</t>
        </is>
      </c>
    </row>
    <row r="48">
      <c r="A48" s="3" t="n">
        <v>46</v>
      </c>
      <c r="B48" s="8" t="inlineStr">
        <is>
          <t>BOVINO</t>
        </is>
      </c>
      <c r="C48" s="1" t="inlineStr">
        <is>
          <t>13 A 24 MESES</t>
        </is>
      </c>
      <c r="D48" s="8" t="inlineStr">
        <is>
          <t>FEMEA</t>
        </is>
      </c>
      <c r="E48" s="1" t="inlineStr">
        <is>
          <t>MA</t>
        </is>
      </c>
      <c r="F48" s="1" t="inlineStr">
        <is>
          <t>Bezerra Desmama</t>
        </is>
      </c>
      <c r="G48" s="4">
        <f>E48&amp;"|"&amp;D48&amp;"|"&amp;C48</f>
        <v/>
      </c>
      <c r="H48" s="14" t="inlineStr">
        <is>
          <t>SIM</t>
        </is>
      </c>
    </row>
    <row r="49">
      <c r="A49" s="3" t="n">
        <v>47</v>
      </c>
      <c r="B49" s="8" t="inlineStr">
        <is>
          <t>BOVINO</t>
        </is>
      </c>
      <c r="C49" s="1" t="inlineStr">
        <is>
          <t>25 A 36 MESES</t>
        </is>
      </c>
      <c r="D49" s="8" t="inlineStr">
        <is>
          <t>MACHO</t>
        </is>
      </c>
      <c r="E49" s="1" t="inlineStr">
        <is>
          <t>MA</t>
        </is>
      </c>
      <c r="F49" s="1" t="inlineStr">
        <is>
          <t>Garrote</t>
        </is>
      </c>
      <c r="G49" s="4">
        <f>E49&amp;"|"&amp;D49&amp;"|"&amp;C49</f>
        <v/>
      </c>
      <c r="H49" s="14" t="inlineStr">
        <is>
          <t>SIM</t>
        </is>
      </c>
    </row>
    <row r="50">
      <c r="A50" s="3" t="n">
        <v>48</v>
      </c>
      <c r="B50" s="8" t="inlineStr">
        <is>
          <t>BOVINO</t>
        </is>
      </c>
      <c r="C50" s="1" t="inlineStr">
        <is>
          <t>25 A 36 MESES</t>
        </is>
      </c>
      <c r="D50" s="8" t="inlineStr">
        <is>
          <t>FEMEA</t>
        </is>
      </c>
      <c r="E50" s="1" t="inlineStr">
        <is>
          <t>MA</t>
        </is>
      </c>
      <c r="F50" s="1" t="inlineStr">
        <is>
          <t>Novilha</t>
        </is>
      </c>
      <c r="G50" s="4">
        <f>E50&amp;"|"&amp;D50&amp;"|"&amp;C50</f>
        <v/>
      </c>
      <c r="H50" s="14" t="inlineStr">
        <is>
          <t>SIM</t>
        </is>
      </c>
    </row>
    <row r="51">
      <c r="A51" s="3" t="n">
        <v>49</v>
      </c>
      <c r="B51" s="8" t="inlineStr">
        <is>
          <t>BOVINO</t>
        </is>
      </c>
      <c r="C51" s="1" t="inlineStr">
        <is>
          <t>ACIMA DE 36 MESES</t>
        </is>
      </c>
      <c r="D51" s="8" t="inlineStr">
        <is>
          <t>MACHO</t>
        </is>
      </c>
      <c r="E51" s="1" t="inlineStr">
        <is>
          <t>MA</t>
        </is>
      </c>
      <c r="F51" s="8" t="inlineStr">
        <is>
          <t>Boi Gordo</t>
        </is>
      </c>
      <c r="G51" s="4">
        <f>E51&amp;"|"&amp;D51&amp;"|"&amp;C51</f>
        <v/>
      </c>
      <c r="H51" s="14" t="inlineStr">
        <is>
          <t>SIM</t>
        </is>
      </c>
    </row>
    <row r="52">
      <c r="A52" s="3" t="n">
        <v>50</v>
      </c>
      <c r="B52" s="8" t="inlineStr">
        <is>
          <t>BOVINO</t>
        </is>
      </c>
      <c r="C52" s="8" t="inlineStr">
        <is>
          <t>ACIMA DE 36 MESES</t>
        </is>
      </c>
      <c r="D52" s="8" t="inlineStr">
        <is>
          <t>FEMEA</t>
        </is>
      </c>
      <c r="E52" s="1" t="inlineStr">
        <is>
          <t>MA</t>
        </is>
      </c>
      <c r="F52" s="1" t="inlineStr">
        <is>
          <t>Vaca</t>
        </is>
      </c>
      <c r="G52" s="9">
        <f>E52&amp;"|"&amp;D52&amp;"|"&amp;C52</f>
        <v/>
      </c>
      <c r="H52" s="14" t="inlineStr">
        <is>
          <t>SIM</t>
        </is>
      </c>
    </row>
    <row r="53">
      <c r="A53" s="3" t="n">
        <v>51</v>
      </c>
      <c r="B53" s="1" t="inlineStr">
        <is>
          <t>BOVINO</t>
        </is>
      </c>
      <c r="C53" s="1" t="inlineStr">
        <is>
          <t>0 A 12 MESES</t>
        </is>
      </c>
      <c r="D53" s="1" t="inlineStr">
        <is>
          <t>MACHO</t>
        </is>
      </c>
      <c r="E53" s="1" t="inlineStr">
        <is>
          <t>TO_DECLARACAO</t>
        </is>
      </c>
      <c r="F53" s="8" t="inlineStr">
        <is>
          <t>Bezerro</t>
        </is>
      </c>
      <c r="G53" s="4">
        <f>E53&amp;"|"&amp;D53&amp;"|"&amp;C53</f>
        <v/>
      </c>
      <c r="H53" s="14" t="inlineStr">
        <is>
          <t>SIM</t>
        </is>
      </c>
    </row>
    <row r="54">
      <c r="A54" s="3" t="n">
        <v>52</v>
      </c>
      <c r="B54" s="1" t="inlineStr">
        <is>
          <t>BOVINO</t>
        </is>
      </c>
      <c r="C54" s="1" t="inlineStr">
        <is>
          <t>0 A 12 MESES</t>
        </is>
      </c>
      <c r="D54" s="1" t="inlineStr">
        <is>
          <t>FEMEA</t>
        </is>
      </c>
      <c r="E54" s="1" t="inlineStr">
        <is>
          <t>TO_DECLARACAO</t>
        </is>
      </c>
      <c r="F54" s="8" t="inlineStr">
        <is>
          <t>Bezerra</t>
        </is>
      </c>
      <c r="G54" s="4">
        <f>E54&amp;"|"&amp;D54&amp;"|"&amp;C54</f>
        <v/>
      </c>
      <c r="H54" s="14" t="inlineStr">
        <is>
          <t>SIM</t>
        </is>
      </c>
    </row>
    <row r="55">
      <c r="A55" s="3" t="n">
        <v>53</v>
      </c>
      <c r="B55" s="1" t="inlineStr">
        <is>
          <t>BOVINO</t>
        </is>
      </c>
      <c r="C55" s="1" t="inlineStr">
        <is>
          <t>13 A 24 MESES</t>
        </is>
      </c>
      <c r="D55" s="1" t="inlineStr">
        <is>
          <t>MACHO</t>
        </is>
      </c>
      <c r="E55" s="1" t="inlineStr">
        <is>
          <t>TO_DECLARACAO</t>
        </is>
      </c>
      <c r="F55" s="1" t="inlineStr">
        <is>
          <t>Bezerro Desmama</t>
        </is>
      </c>
      <c r="G55" s="4">
        <f>E55&amp;"|"&amp;D55&amp;"|"&amp;C55</f>
        <v/>
      </c>
      <c r="H55" s="14" t="inlineStr">
        <is>
          <t>SIM</t>
        </is>
      </c>
    </row>
    <row r="56">
      <c r="A56" s="3" t="n">
        <v>54</v>
      </c>
      <c r="B56" s="1" t="inlineStr">
        <is>
          <t>BOVINO</t>
        </is>
      </c>
      <c r="C56" s="1" t="inlineStr">
        <is>
          <t>13 A 24 MESES</t>
        </is>
      </c>
      <c r="D56" s="1" t="inlineStr">
        <is>
          <t>FEMEA</t>
        </is>
      </c>
      <c r="E56" s="1" t="inlineStr">
        <is>
          <t>TO_DECLARACAO</t>
        </is>
      </c>
      <c r="F56" s="1" t="inlineStr">
        <is>
          <t>Bezerra Desmama</t>
        </is>
      </c>
      <c r="G56" s="4">
        <f>E56&amp;"|"&amp;D56&amp;"|"&amp;C56</f>
        <v/>
      </c>
      <c r="H56" s="14" t="inlineStr">
        <is>
          <t>SIM</t>
        </is>
      </c>
    </row>
    <row r="57">
      <c r="A57" s="3" t="n">
        <v>55</v>
      </c>
      <c r="B57" s="1" t="inlineStr">
        <is>
          <t>BOVINO</t>
        </is>
      </c>
      <c r="C57" s="1" t="inlineStr">
        <is>
          <t>25 A 36 MESES</t>
        </is>
      </c>
      <c r="D57" s="1" t="inlineStr">
        <is>
          <t>MACHO</t>
        </is>
      </c>
      <c r="E57" s="1" t="inlineStr">
        <is>
          <t>TO_DECLARACAO</t>
        </is>
      </c>
      <c r="F57" s="1" t="inlineStr">
        <is>
          <t>Garrote</t>
        </is>
      </c>
      <c r="G57" s="4">
        <f>E57&amp;"|"&amp;D57&amp;"|"&amp;C57</f>
        <v/>
      </c>
      <c r="H57" s="14" t="inlineStr">
        <is>
          <t>SIM</t>
        </is>
      </c>
    </row>
    <row r="58">
      <c r="A58" s="3" t="n">
        <v>56</v>
      </c>
      <c r="B58" s="1" t="inlineStr">
        <is>
          <t>BOVINO</t>
        </is>
      </c>
      <c r="C58" s="1" t="inlineStr">
        <is>
          <t>25 A 36 MESES</t>
        </is>
      </c>
      <c r="D58" s="1" t="inlineStr">
        <is>
          <t>FEMEA</t>
        </is>
      </c>
      <c r="E58" s="1" t="inlineStr">
        <is>
          <t>TO_DECLARACAO</t>
        </is>
      </c>
      <c r="F58" s="1" t="inlineStr">
        <is>
          <t>Novilha</t>
        </is>
      </c>
      <c r="G58" s="4">
        <f>E58&amp;"|"&amp;D58&amp;"|"&amp;C58</f>
        <v/>
      </c>
      <c r="H58" s="14" t="inlineStr">
        <is>
          <t>SIM</t>
        </is>
      </c>
    </row>
    <row r="59">
      <c r="A59" s="3" t="n">
        <v>57</v>
      </c>
      <c r="B59" s="1" t="inlineStr">
        <is>
          <t>BOVINO</t>
        </is>
      </c>
      <c r="C59" s="1" t="inlineStr">
        <is>
          <t>ACIMA DE 36 MESES</t>
        </is>
      </c>
      <c r="D59" s="1" t="inlineStr">
        <is>
          <t>MACHO</t>
        </is>
      </c>
      <c r="E59" s="1" t="inlineStr">
        <is>
          <t>TO_DECLARACAO</t>
        </is>
      </c>
      <c r="F59" s="8" t="inlineStr">
        <is>
          <t>Boi Gordo</t>
        </is>
      </c>
      <c r="G59" s="4">
        <f>E59&amp;"|"&amp;D59&amp;"|"&amp;C59</f>
        <v/>
      </c>
      <c r="H59" s="14" t="inlineStr">
        <is>
          <t>SIM</t>
        </is>
      </c>
    </row>
    <row r="60">
      <c r="A60" s="3" t="n">
        <v>58</v>
      </c>
      <c r="B60" s="8" t="inlineStr">
        <is>
          <t>BOVINO</t>
        </is>
      </c>
      <c r="C60" s="8" t="inlineStr">
        <is>
          <t>ACIMA DE 36 MESES</t>
        </is>
      </c>
      <c r="D60" s="8" t="inlineStr">
        <is>
          <t>FEMEA</t>
        </is>
      </c>
      <c r="E60" s="8" t="inlineStr">
        <is>
          <t>TO_DECLARACAO</t>
        </is>
      </c>
      <c r="F60" s="1" t="inlineStr">
        <is>
          <t>Vaca</t>
        </is>
      </c>
      <c r="G60" s="9">
        <f>E60&amp;"|"&amp;D60&amp;"|"&amp;C60</f>
        <v/>
      </c>
      <c r="H60" s="14" t="inlineStr">
        <is>
          <t>SIM</t>
        </is>
      </c>
    </row>
    <row r="61">
      <c r="A61" s="3" t="n">
        <v>59</v>
      </c>
      <c r="B61" s="8" t="inlineStr">
        <is>
          <t>BOVINO</t>
        </is>
      </c>
      <c r="C61" s="1" t="inlineStr">
        <is>
          <t>0 A 12 MESES</t>
        </is>
      </c>
      <c r="D61" s="1" t="inlineStr">
        <is>
          <t>MACHO</t>
        </is>
      </c>
      <c r="E61" s="8" t="inlineStr">
        <is>
          <t>RO_DECLARACAO</t>
        </is>
      </c>
      <c r="F61" s="8" t="inlineStr">
        <is>
          <t>Bezerro</t>
        </is>
      </c>
      <c r="G61" s="9">
        <f>E61&amp;"|"&amp;D61&amp;"|"&amp;C61</f>
        <v/>
      </c>
      <c r="H61" s="14" t="inlineStr">
        <is>
          <t>SIM</t>
        </is>
      </c>
    </row>
    <row r="62">
      <c r="A62" s="3" t="n">
        <v>60</v>
      </c>
      <c r="B62" s="8" t="inlineStr">
        <is>
          <t>BOVINO</t>
        </is>
      </c>
      <c r="C62" s="1" t="inlineStr">
        <is>
          <t>0 A 12 MESES</t>
        </is>
      </c>
      <c r="D62" s="1" t="inlineStr">
        <is>
          <t>FEMEA</t>
        </is>
      </c>
      <c r="E62" s="8" t="inlineStr">
        <is>
          <t>RO_DECLARACAO</t>
        </is>
      </c>
      <c r="F62" s="8" t="inlineStr">
        <is>
          <t>Bezerra</t>
        </is>
      </c>
      <c r="G62" s="4">
        <f>E62&amp;"|"&amp;D62&amp;"|"&amp;C62</f>
        <v/>
      </c>
      <c r="H62" s="14" t="inlineStr">
        <is>
          <t>SIM</t>
        </is>
      </c>
    </row>
    <row r="63">
      <c r="A63" s="3" t="n">
        <v>61</v>
      </c>
      <c r="B63" s="8" t="inlineStr">
        <is>
          <t>BOVINO</t>
        </is>
      </c>
      <c r="C63" s="1" t="inlineStr">
        <is>
          <t>13 A 24 MESES</t>
        </is>
      </c>
      <c r="D63" s="1" t="inlineStr">
        <is>
          <t>MACHO</t>
        </is>
      </c>
      <c r="E63" s="8" t="inlineStr">
        <is>
          <t>RO_DECLARACAO</t>
        </is>
      </c>
      <c r="F63" s="1" t="inlineStr">
        <is>
          <t>Bezerro Desmama</t>
        </is>
      </c>
      <c r="G63" s="4">
        <f>E63&amp;"|"&amp;D63&amp;"|"&amp;C63</f>
        <v/>
      </c>
      <c r="H63" s="14" t="inlineStr">
        <is>
          <t>SIM</t>
        </is>
      </c>
    </row>
    <row r="64">
      <c r="A64" s="3" t="n">
        <v>62</v>
      </c>
      <c r="B64" s="8" t="inlineStr">
        <is>
          <t>BOVINO</t>
        </is>
      </c>
      <c r="C64" s="1" t="inlineStr">
        <is>
          <t>13 A 24 MESES</t>
        </is>
      </c>
      <c r="D64" s="1" t="inlineStr">
        <is>
          <t>FEMEA</t>
        </is>
      </c>
      <c r="E64" s="8" t="inlineStr">
        <is>
          <t>RO_DECLARACAO</t>
        </is>
      </c>
      <c r="F64" s="1" t="inlineStr">
        <is>
          <t>Bezerra Desmama</t>
        </is>
      </c>
      <c r="G64" s="4">
        <f>E64&amp;"|"&amp;D64&amp;"|"&amp;C64</f>
        <v/>
      </c>
      <c r="H64" s="14" t="inlineStr">
        <is>
          <t>SIM</t>
        </is>
      </c>
    </row>
    <row r="65">
      <c r="A65" s="3" t="n">
        <v>63</v>
      </c>
      <c r="B65" s="8" t="inlineStr">
        <is>
          <t>BOVINO</t>
        </is>
      </c>
      <c r="C65" s="1" t="inlineStr">
        <is>
          <t>25 A 36 MESES</t>
        </is>
      </c>
      <c r="D65" s="1" t="inlineStr">
        <is>
          <t>MACHO</t>
        </is>
      </c>
      <c r="E65" s="8" t="inlineStr">
        <is>
          <t>RO_DECLARACAO</t>
        </is>
      </c>
      <c r="F65" s="1" t="inlineStr">
        <is>
          <t>Garrote</t>
        </is>
      </c>
      <c r="G65" s="4">
        <f>E65&amp;"|"&amp;D65&amp;"|"&amp;C65</f>
        <v/>
      </c>
      <c r="H65" s="14" t="inlineStr">
        <is>
          <t>SIM</t>
        </is>
      </c>
    </row>
    <row r="66">
      <c r="A66" s="3" t="n">
        <v>64</v>
      </c>
      <c r="B66" s="8" t="inlineStr">
        <is>
          <t>BOVINO</t>
        </is>
      </c>
      <c r="C66" s="1" t="inlineStr">
        <is>
          <t>25 A 36 MESES</t>
        </is>
      </c>
      <c r="D66" s="1" t="inlineStr">
        <is>
          <t>FEMEA</t>
        </is>
      </c>
      <c r="E66" s="8" t="inlineStr">
        <is>
          <t>RO_DECLARACAO</t>
        </is>
      </c>
      <c r="F66" s="1" t="inlineStr">
        <is>
          <t>Novilha</t>
        </is>
      </c>
      <c r="G66" s="4">
        <f>E66&amp;"|"&amp;D66&amp;"|"&amp;C66</f>
        <v/>
      </c>
      <c r="H66" s="14" t="inlineStr">
        <is>
          <t>SIM</t>
        </is>
      </c>
    </row>
    <row r="67">
      <c r="A67" s="3" t="n">
        <v>65</v>
      </c>
      <c r="B67" s="8" t="inlineStr">
        <is>
          <t>BOVINO</t>
        </is>
      </c>
      <c r="C67" s="1" t="inlineStr">
        <is>
          <t>ACIMA DE 36 MESES</t>
        </is>
      </c>
      <c r="D67" s="1" t="inlineStr">
        <is>
          <t>MACHO</t>
        </is>
      </c>
      <c r="E67" s="8" t="inlineStr">
        <is>
          <t>RO_DECLARACAO</t>
        </is>
      </c>
      <c r="F67" s="8" t="inlineStr">
        <is>
          <t>Boi Gordo</t>
        </is>
      </c>
      <c r="G67" s="4">
        <f>E67&amp;"|"&amp;D67&amp;"|"&amp;C67</f>
        <v/>
      </c>
      <c r="H67" s="14" t="inlineStr">
        <is>
          <t>SIM</t>
        </is>
      </c>
    </row>
    <row r="68">
      <c r="A68" s="3" t="n">
        <v>66</v>
      </c>
      <c r="B68" s="8" t="inlineStr">
        <is>
          <t>BOVINO</t>
        </is>
      </c>
      <c r="C68" s="8" t="inlineStr">
        <is>
          <t>ACIMA DE 36 MESES</t>
        </is>
      </c>
      <c r="D68" s="8" t="inlineStr">
        <is>
          <t>FEMEA</t>
        </is>
      </c>
      <c r="E68" s="8" t="inlineStr">
        <is>
          <t>RO_DECLARACAO</t>
        </is>
      </c>
      <c r="F68" s="1" t="inlineStr">
        <is>
          <t>Vaca</t>
        </is>
      </c>
      <c r="G68" s="4">
        <f>E68&amp;"|"&amp;D68&amp;"|"&amp;C68</f>
        <v/>
      </c>
      <c r="H68" s="14" t="inlineStr">
        <is>
          <t>SIM</t>
        </is>
      </c>
    </row>
    <row r="69">
      <c r="A69" s="3" t="n">
        <v>67</v>
      </c>
      <c r="B69" s="8" t="inlineStr">
        <is>
          <t>BOVINO</t>
        </is>
      </c>
      <c r="C69" s="1" t="inlineStr">
        <is>
          <t>0 A 12 MESES</t>
        </is>
      </c>
      <c r="D69" s="1" t="inlineStr">
        <is>
          <t>MACHO</t>
        </is>
      </c>
      <c r="E69" s="1" t="inlineStr">
        <is>
          <t>PA_DECLARACAO</t>
        </is>
      </c>
      <c r="F69" s="8" t="inlineStr">
        <is>
          <t>Bezerro</t>
        </is>
      </c>
      <c r="G69" s="4">
        <f>E69&amp;"|"&amp;D69&amp;"|"&amp;C69</f>
        <v/>
      </c>
      <c r="H69" s="14" t="inlineStr">
        <is>
          <t>SIM</t>
        </is>
      </c>
    </row>
    <row r="70">
      <c r="A70" s="3" t="n">
        <v>68</v>
      </c>
      <c r="B70" s="8" t="inlineStr">
        <is>
          <t>BOVINO</t>
        </is>
      </c>
      <c r="C70" s="1" t="inlineStr">
        <is>
          <t>0 A 12 MESES</t>
        </is>
      </c>
      <c r="D70" s="1" t="inlineStr">
        <is>
          <t>FEMEA</t>
        </is>
      </c>
      <c r="E70" s="1" t="inlineStr">
        <is>
          <t>PA_DECLARACAO</t>
        </is>
      </c>
      <c r="F70" s="8" t="inlineStr">
        <is>
          <t>Bezerra</t>
        </is>
      </c>
      <c r="G70" s="4">
        <f>E70&amp;"|"&amp;D70&amp;"|"&amp;C70</f>
        <v/>
      </c>
      <c r="H70" s="14" t="inlineStr">
        <is>
          <t>SIM</t>
        </is>
      </c>
    </row>
    <row r="71">
      <c r="A71" s="3" t="n">
        <v>69</v>
      </c>
      <c r="B71" s="8" t="inlineStr">
        <is>
          <t>BOVINO</t>
        </is>
      </c>
      <c r="C71" s="1" t="inlineStr">
        <is>
          <t>13 A 24 MESES</t>
        </is>
      </c>
      <c r="D71" s="1" t="inlineStr">
        <is>
          <t>MACHO</t>
        </is>
      </c>
      <c r="E71" s="1" t="inlineStr">
        <is>
          <t>PA_DECLARACAO</t>
        </is>
      </c>
      <c r="F71" s="1" t="inlineStr">
        <is>
          <t>Bezerro Desmama</t>
        </is>
      </c>
      <c r="G71" s="4">
        <f>E71&amp;"|"&amp;D71&amp;"|"&amp;C71</f>
        <v/>
      </c>
      <c r="H71" s="14" t="inlineStr">
        <is>
          <t>SIM</t>
        </is>
      </c>
    </row>
    <row r="72">
      <c r="A72" s="3" t="n">
        <v>70</v>
      </c>
      <c r="B72" s="8" t="inlineStr">
        <is>
          <t>BOVINO</t>
        </is>
      </c>
      <c r="C72" s="1" t="inlineStr">
        <is>
          <t>13 A 24 MESES</t>
        </is>
      </c>
      <c r="D72" s="1" t="inlineStr">
        <is>
          <t>FEMEA</t>
        </is>
      </c>
      <c r="E72" s="1" t="inlineStr">
        <is>
          <t>PA_DECLARACAO</t>
        </is>
      </c>
      <c r="F72" s="1" t="inlineStr">
        <is>
          <t>Bezerra Desmama</t>
        </is>
      </c>
      <c r="G72" s="4">
        <f>E72&amp;"|"&amp;D72&amp;"|"&amp;C72</f>
        <v/>
      </c>
      <c r="H72" s="14" t="inlineStr">
        <is>
          <t>SIM</t>
        </is>
      </c>
    </row>
    <row r="73">
      <c r="A73" s="3" t="n">
        <v>71</v>
      </c>
      <c r="B73" s="8" t="inlineStr">
        <is>
          <t>BOVINO</t>
        </is>
      </c>
      <c r="C73" s="1" t="inlineStr">
        <is>
          <t>25 A 36 MESES</t>
        </is>
      </c>
      <c r="D73" s="1" t="inlineStr">
        <is>
          <t>MACHO</t>
        </is>
      </c>
      <c r="E73" s="1" t="inlineStr">
        <is>
          <t>PA_DECLARACAO</t>
        </is>
      </c>
      <c r="F73" s="1" t="inlineStr">
        <is>
          <t>Garrote</t>
        </is>
      </c>
      <c r="G73" s="4">
        <f>E73&amp;"|"&amp;D73&amp;"|"&amp;C73</f>
        <v/>
      </c>
      <c r="H73" s="14" t="inlineStr">
        <is>
          <t>SIM</t>
        </is>
      </c>
    </row>
    <row r="74">
      <c r="A74" s="3" t="n">
        <v>72</v>
      </c>
      <c r="B74" s="8" t="inlineStr">
        <is>
          <t>BOVINO</t>
        </is>
      </c>
      <c r="C74" s="1" t="inlineStr">
        <is>
          <t>25 A 36 MESES</t>
        </is>
      </c>
      <c r="D74" s="1" t="inlineStr">
        <is>
          <t>FEMEA</t>
        </is>
      </c>
      <c r="E74" s="1" t="inlineStr">
        <is>
          <t>PA_DECLARACAO</t>
        </is>
      </c>
      <c r="F74" s="1" t="inlineStr">
        <is>
          <t>Novilha</t>
        </is>
      </c>
      <c r="G74" s="4">
        <f>E74&amp;"|"&amp;D74&amp;"|"&amp;C74</f>
        <v/>
      </c>
      <c r="H74" s="14" t="inlineStr">
        <is>
          <t>SIM</t>
        </is>
      </c>
    </row>
    <row r="75">
      <c r="A75" s="3" t="n">
        <v>73</v>
      </c>
      <c r="B75" s="8" t="inlineStr">
        <is>
          <t>BOVINO</t>
        </is>
      </c>
      <c r="C75" s="1" t="inlineStr">
        <is>
          <t>ACIMA DE 36 MESES</t>
        </is>
      </c>
      <c r="D75" s="1" t="inlineStr">
        <is>
          <t>MACHO</t>
        </is>
      </c>
      <c r="E75" s="1" t="inlineStr">
        <is>
          <t>PA_DECLARACAO</t>
        </is>
      </c>
      <c r="F75" s="8" t="inlineStr">
        <is>
          <t>Boi Gordo</t>
        </is>
      </c>
      <c r="G75" s="4">
        <f>E75&amp;"|"&amp;D75&amp;"|"&amp;C75</f>
        <v/>
      </c>
      <c r="H75" s="14" t="inlineStr">
        <is>
          <t>SIM</t>
        </is>
      </c>
    </row>
    <row r="76">
      <c r="A76" s="3" t="n">
        <v>74</v>
      </c>
      <c r="B76" s="8" t="inlineStr">
        <is>
          <t>BOVINO</t>
        </is>
      </c>
      <c r="C76" s="8" t="inlineStr">
        <is>
          <t>ACIMA DE 36 MESES</t>
        </is>
      </c>
      <c r="D76" s="8" t="inlineStr">
        <is>
          <t>FEMEA</t>
        </is>
      </c>
      <c r="E76" s="8" t="inlineStr">
        <is>
          <t>PA_DECLARACAO</t>
        </is>
      </c>
      <c r="F76" s="1" t="inlineStr">
        <is>
          <t>Vaca</t>
        </is>
      </c>
      <c r="G76" s="9">
        <f>E76&amp;"|"&amp;D76&amp;"|"&amp;C76</f>
        <v/>
      </c>
      <c r="H76" s="14" t="inlineStr">
        <is>
          <t>SIM</t>
        </is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3">
    <outlinePr summaryBelow="1" summaryRight="1"/>
    <pageSetUpPr/>
  </sheetPr>
  <dimension ref="A1:M2"/>
  <sheetViews>
    <sheetView workbookViewId="0">
      <selection activeCell="F13" sqref="F13"/>
    </sheetView>
  </sheetViews>
  <sheetFormatPr baseColWidth="8" defaultRowHeight="14.4"/>
  <cols>
    <col width="17.88671875" customWidth="1" min="1" max="7"/>
    <col width="15.44140625" bestFit="1" customWidth="1" min="8" max="8"/>
    <col width="17.88671875" customWidth="1" min="9" max="9"/>
    <col width="29.88671875" bestFit="1" customWidth="1" min="12" max="12"/>
    <col width="10.44140625" bestFit="1" customWidth="1" min="13" max="13"/>
  </cols>
  <sheetData>
    <row r="1">
      <c r="A1" s="29" t="inlineStr">
        <is>
          <t>Data/Hora</t>
        </is>
      </c>
      <c r="B1" s="29" t="inlineStr">
        <is>
          <t>Arquivo</t>
        </is>
      </c>
      <c r="C1" s="29" t="inlineStr">
        <is>
          <t>Fazenda</t>
        </is>
      </c>
      <c r="D1" s="29" t="inlineStr">
        <is>
          <t>Estado</t>
        </is>
      </c>
      <c r="E1" s="29" t="inlineStr">
        <is>
          <t>Espécie</t>
        </is>
      </c>
      <c r="F1" s="29" t="inlineStr">
        <is>
          <t>Sexo</t>
        </is>
      </c>
      <c r="G1" s="29" t="inlineStr">
        <is>
          <t>Estratificação</t>
        </is>
      </c>
      <c r="H1" s="29" t="inlineStr">
        <is>
          <t>Quantidade</t>
        </is>
      </c>
      <c r="I1" s="29" t="inlineStr">
        <is>
          <t>Motivo</t>
        </is>
      </c>
      <c r="J1" t="inlineStr">
        <is>
          <t>Tabela Destino</t>
        </is>
      </c>
      <c r="K1" t="inlineStr">
        <is>
          <t>Status</t>
        </is>
      </c>
      <c r="L1" t="inlineStr">
        <is>
          <t>CHAVE</t>
        </is>
      </c>
      <c r="M1" t="inlineStr">
        <is>
          <t>Nº Ficha</t>
        </is>
      </c>
    </row>
    <row r="2">
      <c r="A2" s="13" t="n"/>
      <c r="B2" s="29" t="n"/>
      <c r="C2" s="29" t="n"/>
      <c r="D2" s="29" t="n"/>
      <c r="E2" s="29" t="n"/>
      <c r="F2" s="29" t="n"/>
      <c r="G2" s="29" t="n"/>
      <c r="H2" s="12" t="n"/>
      <c r="I2" s="29" t="n"/>
      <c r="J2" s="29" t="n"/>
      <c r="K2" s="29" t="n"/>
      <c r="L2" s="29" t="n"/>
      <c r="M2" s="29" t="n"/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Planilha4">
    <outlinePr summaryBelow="1" summaryRight="1"/>
    <pageSetUpPr/>
  </sheetPr>
  <dimension ref="A1:B5"/>
  <sheetViews>
    <sheetView workbookViewId="0">
      <selection activeCell="A12" sqref="A12"/>
    </sheetView>
  </sheetViews>
  <sheetFormatPr baseColWidth="8" defaultRowHeight="14.4"/>
  <cols>
    <col width="57" bestFit="1" customWidth="1" min="1" max="1"/>
  </cols>
  <sheetData>
    <row r="1">
      <c r="A1" s="2" t="inlineStr">
        <is>
          <t>Etapa 1: Estrutura da planilha (já está praticamente pronta).</t>
        </is>
      </c>
      <c r="B1" t="inlineStr">
        <is>
          <t>ok</t>
        </is>
      </c>
    </row>
    <row r="2">
      <c r="A2" s="2" t="inlineStr">
        <is>
          <t>Etapa 2: Tabela de mapeamento das categorias.</t>
        </is>
      </c>
      <c r="B2" t="inlineStr">
        <is>
          <t>ok</t>
        </is>
      </c>
    </row>
    <row r="3">
      <c r="A3" s="2" t="inlineStr">
        <is>
          <t>Etapa 3: Macro para importar os arquivos.</t>
        </is>
      </c>
    </row>
    <row r="4">
      <c r="A4" s="2" t="inlineStr">
        <is>
          <t>Etapa 4: Reconhecimento automático do modelo da ficha.</t>
        </is>
      </c>
    </row>
    <row r="5">
      <c r="A5" s="2" t="inlineStr">
        <is>
          <t>Etapa 5: Consolidação de todas as fazendas em uma única base.</t>
        </is>
      </c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Vitoria Santos Silva</dc:creator>
  <dcterms:created xmlns:dcterms="http://purl.org/dc/terms/" xmlns:xsi="http://www.w3.org/2001/XMLSchema-instance" xsi:type="dcterms:W3CDTF">2026-07-09T13:00:31Z</dcterms:created>
  <dcterms:modified xmlns:dcterms="http://purl.org/dc/terms/" xmlns:xsi="http://www.w3.org/2001/XMLSchema-instance" xsi:type="dcterms:W3CDTF">2026-07-23T02:08:01Z</dcterms:modified>
  <cp:lastModifiedBy>lucas nascimento vinicius</cp:lastModifiedBy>
</cp:coreProperties>
</file>